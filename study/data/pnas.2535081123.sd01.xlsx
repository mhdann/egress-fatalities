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at/Dropbox/wwri/networks/Submissions/PNAS/"/>
    </mc:Choice>
  </mc:AlternateContent>
  <xr:revisionPtr revIDLastSave="0" documentId="13_ncr:1_{CFF34C96-AA6D-C94A-8753-67CFF9DAD111}" xr6:coauthVersionLast="47" xr6:coauthVersionMax="47" xr10:uidLastSave="{00000000-0000-0000-0000-000000000000}"/>
  <bookViews>
    <workbookView xWindow="3860" yWindow="780" windowWidth="21640" windowHeight="18380" activeTab="1" xr2:uid="{00000000-000D-0000-FFFF-FFFF00000000}"/>
  </bookViews>
  <sheets>
    <sheet name="redbooks + top 20 fires" sheetId="4" r:id="rId1"/>
    <sheet name="Tubbs"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31" i="4" l="1"/>
  <c r="H29" i="4"/>
  <c r="H15" i="4"/>
  <c r="H21" i="4"/>
  <c r="H38" i="4"/>
  <c r="H22" i="4"/>
  <c r="H20" i="4"/>
  <c r="H39" i="4"/>
  <c r="H19" i="4"/>
  <c r="H12" i="4"/>
  <c r="H10" i="4"/>
  <c r="H36" i="4"/>
  <c r="H30" i="4"/>
  <c r="H17" i="4"/>
  <c r="H41" i="4"/>
  <c r="H9" i="4"/>
  <c r="H8" i="4"/>
  <c r="H3" i="4"/>
  <c r="H13" i="4"/>
  <c r="H34" i="4"/>
  <c r="H26" i="4"/>
  <c r="H35" i="4"/>
  <c r="H27" i="4"/>
  <c r="H5" i="4"/>
  <c r="H16" i="4"/>
  <c r="H24" i="4"/>
  <c r="H18" i="4"/>
  <c r="H32" i="4"/>
  <c r="H14" i="4"/>
  <c r="H23" i="4"/>
  <c r="H25" i="4"/>
  <c r="H33" i="4"/>
</calcChain>
</file>

<file path=xl/sharedStrings.xml><?xml version="1.0" encoding="utf-8"?>
<sst xmlns="http://schemas.openxmlformats.org/spreadsheetml/2006/main" count="303" uniqueCount="223">
  <si>
    <t>Source</t>
  </si>
  <si>
    <t>Fire</t>
  </si>
  <si>
    <t>Year</t>
  </si>
  <si>
    <t>exits</t>
  </si>
  <si>
    <t>notes</t>
  </si>
  <si>
    <t>Waldo Canyon</t>
  </si>
  <si>
    <t>2016 Great Smoky Mountain wildfires</t>
  </si>
  <si>
    <t>Redwood Valley</t>
  </si>
  <si>
    <t>Eaton</t>
  </si>
  <si>
    <t>Hawaii/Lahaina</t>
  </si>
  <si>
    <t>Palisades</t>
  </si>
  <si>
    <t>Name</t>
  </si>
  <si>
    <t>Notes</t>
  </si>
  <si>
    <t>https://mendovoice.com/2022/10/three-years-ago-tonight-redwood-valley-potter-valley-burned-remembering-the-redwood-fire/</t>
  </si>
  <si>
    <t>Fatalities</t>
  </si>
  <si>
    <t>fatality information</t>
  </si>
  <si>
    <t>Fatalities that could not be assigned to a CP</t>
  </si>
  <si>
    <t>Identified fatalities</t>
  </si>
  <si>
    <t>census place</t>
  </si>
  <si>
    <t>population</t>
  </si>
  <si>
    <t>evac_vul</t>
  </si>
  <si>
    <t>HAPPY CAMP COMPLEX</t>
  </si>
  <si>
    <t>Ken Lee Oliver (71) in the driveway of his Roxbury Drive home, off Scott River Road. Assume in happy camp cdp</t>
  </si>
  <si>
    <t>https://www.siskiyoudaily.com/story/news/2023/08/18/a-scott-bar-siskiyou-count-mans-body-found-in-driveway-head-fire/70624551007/</t>
  </si>
  <si>
    <t>Happy Camp CDP</t>
  </si>
  <si>
    <t>MILL</t>
  </si>
  <si>
    <t>73-year-old Marilyn Hilliard and 66-year-old Lorenza Glover, were residents of Weed and were unable to escape the fast-moving blaze</t>
  </si>
  <si>
    <t>https://kobi5.com/news/victims-killed-in-mill-fire-publicly-identified-195600/#:~:text=WEED%2C%20Calif.,victims%20of%20the%20Mill%20Fire.</t>
  </si>
  <si>
    <t>Weed City</t>
  </si>
  <si>
    <t>FAIRVIEW</t>
  </si>
  <si>
    <t>The victims were identified as a father and daughter, Ian Compton (40) and Mikayla Porter (27), who were found in a vehicle trying to escape the fire. Found at 42-400 block of Avery Canyon Road. Autistic daughter and her father</t>
  </si>
  <si>
    <t>https://www.desertsun.com/story/news/2022/10/12/two-people-who-died-fairview-fire-officially-identified/10476125002/</t>
  </si>
  <si>
    <t>East Hemet</t>
  </si>
  <si>
    <t>MCKINNEY</t>
  </si>
  <si>
    <t xml:space="preserve">Two bodies were found in a vehicle in the burn path near the town of Klamath River, and two more were discovered at separate homes along Route 96. Kathleen Shoopman, age 73 · Charles Kays, 79 · Judith Kays, 82 · John Cogan, 76. Judith and Charles in car in driveway. Kathleen was a fire lookout </t>
  </si>
  <si>
    <t>https://www.courthousenews.com/children-of-couple-who-perished-in-california-wildfire-sue-cbs-abc-after-learning-of-parents-death-on-tv/; https://www.siskiyoudaily.com/story/news/2022/09/21/california-wildfires-mckinney-fire-daughter-grieves-death-dad-john-cogan/8067211001/</t>
  </si>
  <si>
    <t>Klamath CDP</t>
  </si>
  <si>
    <t>CZU AUGUST LIGHTENING COMPLEX</t>
  </si>
  <si>
    <t>A 70-year-old man found dead near the coastal community of Davenport</t>
  </si>
  <si>
    <t>https://www.cbsnews.com/sanfrancisco/news/czu-lighting-complex-fire-victim-died-trying-to-flee-flames-6-rescued-while-trying-to-return-to-evacuated-homes/</t>
  </si>
  <si>
    <t>Davenport</t>
  </si>
  <si>
    <t>LNU LIGHTENING COMPLEX</t>
  </si>
  <si>
    <t>Mary Kathryn Hintemeyer (70), Leo Thomas McDermott (71),  Thomas Leo McDermott (40). 6900 Block of State Route 128</t>
  </si>
  <si>
    <t>https://abc7news.com/post/3-napa-residents-killed-in-lnu-lightning-complex-fire-identified/6399841/</t>
  </si>
  <si>
    <t>Moskowite Corner CDP</t>
  </si>
  <si>
    <t>Douglas Mai (82), 7400 Pleasants Valley Road; Leon "James" Bone (64), 7800 English Hills Road</t>
  </si>
  <si>
    <t>https://www.ksbw.com/article/california-wildfire-killing-woman-dating-app/64773500#:~:text=The%20Markley%20Fire%20destroyed%20hundreds%20of%20structures,the%207800%20block%20of%20English%20Hills%20Road.</t>
  </si>
  <si>
    <t>Allendale CDP</t>
  </si>
  <si>
    <t>ZOGG</t>
  </si>
  <si>
    <t>Felya Mcleod, 8; Alaina Mcleod, 45; Kenneth Vossen, 52; and Karin King, 79 in the community of Igo.</t>
  </si>
  <si>
    <t>https://www.theguardian.com/us-news/2023/jun/03/us-zogg-wildfire-power-company-avoided-trial; https://www.sacbee.com/news/california/fires/article246347955.html</t>
  </si>
  <si>
    <t>Igo</t>
  </si>
  <si>
    <t>NORTH COMPLEX</t>
  </si>
  <si>
    <t xml:space="preserve">only can confirm 13. only 7 names: John Butler, 79; Sandra Butler, 75; Jorge Hernandez-Juarez, 26; Philip Rubel, 68; Khawar Bhatti, 58; Millicent Catarancuic, 77; and Josiah Williams, 16. 1 died in hospital after. 2 died in Feather falls which is too small to be a CP. </t>
  </si>
  <si>
    <t>https://www.latimes.com/california/story/2020-09-15/california-fires-berry-creek-death-toll-rises</t>
  </si>
  <si>
    <t>Berry Creek</t>
  </si>
  <si>
    <t>SLATER</t>
  </si>
  <si>
    <t>https://krcrtv.com/north-coast-news/eureka-local-news/officials-confirm-second-death-from-slater-fire-thursday</t>
  </si>
  <si>
    <t>MOUNTAIN VIEW</t>
  </si>
  <si>
    <t>Sallie Joseph (69). One neighborhood along Lone Company Road, a long narrow one-way, is left with just ash and a neighbor who died.</t>
  </si>
  <si>
    <t>https://mynews4.com/news/local/neighborhood-decimated-by-mountainview-fire-leaves-one-neighbor-dead</t>
  </si>
  <si>
    <t>Walker</t>
  </si>
  <si>
    <t>SANDALWOOD</t>
  </si>
  <si>
    <t>https://www.nbcnews.com/news/us-news/garbage-truck-driver-arrested-california-sandalwood-fire-killed-two-people-n1257978; Calimesa Mobile Home Park</t>
  </si>
  <si>
    <t>Calimesa</t>
  </si>
  <si>
    <t>SADDLE RIDGE</t>
  </si>
  <si>
    <t>At least one death was attributed to the fire, a man who authorities said suffered a heart attack while trying to battle encroaching flames on his property rather than heeding evacuation orders. Excluding because of a heart attack</t>
  </si>
  <si>
    <t>KLAMATHON</t>
  </si>
  <si>
    <t>https://www.sfgate.com/news/article/Firefighters-battle-Klamathon-blaze-amid-fierce-13057911.php</t>
  </si>
  <si>
    <t>Hornbrook</t>
  </si>
  <si>
    <t>CARR</t>
  </si>
  <si>
    <t xml:space="preserve"> 70-year-old Melody Bledsoe and her great-grandchildren, 5-year-old James Roberts and 4-year-old Emily Roberts. Daniel Bush (62)</t>
  </si>
  <si>
    <t>https://abc7news.com/post/children-great-grandmother-missing-in-carr-fire-found-dead/3840036/; https://www.abc10.com/article/news/nation-world/man-who-died-in-carr-fire-may-have-been-unable-to-flee-7-still-missing/507-579010741</t>
  </si>
  <si>
    <t>Keswick</t>
  </si>
  <si>
    <t>CAMP</t>
  </si>
  <si>
    <t xml:space="preserve">Joyce Acheson (78), Herbert Alderman (80), Teresa Ammons (82), Rafaela Andrade (84), Carol Arrington (88), Julian Binstock (88), David Bradburd (70), Cheryl Brown (75), Larry Brown (72),  Andrew Burt (36), Barbara Calson (71), Vincent Carota (65), Dennis Clark Jr (49), Evelyn Cline (81), John Digby (78), Gordon Dise (66), Paula Dodge (70), Randall Dodge (66), Andrew Downer (54), Robert Duvall (76), Paul Ernest (72), Rose Farrell (99),  Ernest Foss Jr (63), Elizabeth Gaal (80), Sally Gamboa (69),  Shirley Haley (67), Dennis Hanko (56), Anna Hastings (67), Jennifer Hayes (53), Christina Heffern (40), Ishka Heffern (20), Matilde Heffern (68), Louis Herrera (86), Evva Holt (85), James Kinner (83), Dorothy Lee-Herrera (93), Dorothy Mack (88), Sara Magnuson (75), Dolores Joanne Malarkey (90), John Malarkey (89), Christopher Maltby (69), David Marbury (66), Deborah Morningstar (65), Helen Pace (84), Joy Porter (72), Beverly Powers (64), Robert Quinn (74), Joseph Rabetoy (39), Forrest Rea (89), Vernice Regan (95), Ethel Riggs (96), Lolene Rios (56), Gerald Rodrigues (74), Phyllis Salazar (72), Frederick Salazar Jr (76), Shelia Santos (64), Ronald Schenk (74),  Judith Sipher (68), Larry Smith (80)* passed away in hospital after rescue, Russell Stewart (63), Victoria Taft (67), Shirlee Teays (90), Joan Tracy (82),  Donna Ware (86), Isabel Webb (68), Kimber Wehr (53), </t>
  </si>
  <si>
    <t>https://www.kcra.com/article/these-are-the-victims-of-camp-fire/32885128</t>
  </si>
  <si>
    <t>Paradise</t>
  </si>
  <si>
    <t xml:space="preserve">Richard Brown (74), Jesus Fernandez (48), Richard Garrett (58), William Godbout (79), TK Huff (71), Ellen Walker (72), Marie Wehe (78), David Young (69), Unknown </t>
  </si>
  <si>
    <t>Concow</t>
  </si>
  <si>
    <t>Joanne Caddy (75), Jean Forsman (83), James Garner (63), Gary Hunter (76) , Warren Lessard (68), Berniece Schmidt (93), John Sedwick (82), Don Shores (70), Kathy Shores (65),</t>
  </si>
  <si>
    <t>Magalia</t>
  </si>
  <si>
    <t>WOOLSEY</t>
  </si>
  <si>
    <t>Alfred deCiutiis (73). The two others died in the 33000 block of mulholland highway and can not be attached to a CP</t>
  </si>
  <si>
    <t>1 in agoura (https://www.vcstar.com/story/news/2019/04/19/victims-family-sues-edison-over-woolsey-fire-death-agoura-hills/3526678002/);https://ktla.com/news/local-news/woolsey-fire-chars-109-square-miles-as-destructive-fire-continues-to-burn-for-3rd-day-in-l-a-ventura-county/</t>
  </si>
  <si>
    <t>Agoura</t>
  </si>
  <si>
    <t>CASCADE</t>
  </si>
  <si>
    <t>Sandra Lou Picciano, 77, David Patrick Culp, 76, Stanley Albert Coolidge, 78, all of Loma Rica, and Roseann Hannah, 53, of Grass Valley</t>
  </si>
  <si>
    <t>https://www.sacbee.com/news/california/fires/article179743136.html</t>
  </si>
  <si>
    <t>Loma Rica</t>
  </si>
  <si>
    <t>Grass Valley</t>
  </si>
  <si>
    <t>TUBBS</t>
  </si>
  <si>
    <t>Calistoga</t>
  </si>
  <si>
    <t>NUNS</t>
  </si>
  <si>
    <t>https://www.panish.law/wildfires/nuns-fire.html; https://www.firehero.org/fallen-firefighter/garrett-angel-taco-paiz/</t>
  </si>
  <si>
    <t>Glen Ellen</t>
  </si>
  <si>
    <t>REDWOOD VALLEY</t>
  </si>
  <si>
    <t>ATLAS</t>
  </si>
  <si>
    <t>Charles (100) and Sarah (99) Gibney. George Chaney, 89; Edward Stone, 79</t>
  </si>
  <si>
    <t>Silvarado Resort</t>
  </si>
  <si>
    <t xml:space="preserve">Teresa Santos (50), Sally Lewis (90) </t>
  </si>
  <si>
    <t>https://www.ktvu.com/news/granddaughter-napa-couple-dies-in-atlas-peak-fire; https://www.sfgate.com/bayarea/article/Teresa-Santos-Died-in-Napa-fire-atlas-survivor-12335737.php</t>
  </si>
  <si>
    <t>THOMAS</t>
  </si>
  <si>
    <t xml:space="preserve">Virginia Pesola (70) died in her car in Wheeler Canyon, leaving Santa Paula </t>
  </si>
  <si>
    <t>https://www.independent.com/2017/12/20/victims-thomas-fire/</t>
  </si>
  <si>
    <t>Santa Paula</t>
  </si>
  <si>
    <t>BORDER 3</t>
  </si>
  <si>
    <t>https://fox5sandiego.com/news/2-bodies-found-during-border-fire-cleanup/; https://www.eastcountymagazine.org/jim-keefe</t>
  </si>
  <si>
    <t>Potrero</t>
  </si>
  <si>
    <t>RESEVOIR</t>
  </si>
  <si>
    <t>It's not entirely clear but it seems the 1 fatality may be the car crash that started the fire</t>
  </si>
  <si>
    <t>https://www.sgvtribune.com/2016/06/21/fish-fire-reservoir-fire-burn-combined-4500-acres-in-san-gabriel-mountains-near-azusa-duarte/</t>
  </si>
  <si>
    <t>ERSKINE</t>
  </si>
  <si>
    <t>Byron and Gladys McKaig</t>
  </si>
  <si>
    <t>https://www.youtube.com/watch?v=IIVzcyNaNUc&amp;t=59s; https://www.latimes.com/local/lanow/la-me-ln-kern-county-fire-damage-20160624-snap-story.html</t>
  </si>
  <si>
    <t>Lake Isabella</t>
  </si>
  <si>
    <t>SAND</t>
  </si>
  <si>
    <t>https://www.nbclosangeles.com/news/body-identified-in-sand-fire-death-firefighters-continue-to-fight-blaze/52716/</t>
  </si>
  <si>
    <t>Santa Clarita</t>
  </si>
  <si>
    <t>BUTTE</t>
  </si>
  <si>
    <t>Mark McCloud (65), Owen Goldsmith (80)</t>
  </si>
  <si>
    <t>https://www.nbcnews.com/storyline/western-wildfires/body-found-aftermath-large-butte-fire-california-n428676; https://wildfiretoday.com/coroner-confirms-two-in-the-butte-fire-in-california/#:~:text=Kevin%20Ragio%2C%20the%20Calaveras%20County,found%20near%20Baker%20Riley%20Road.</t>
  </si>
  <si>
    <t>Mountain Ranch</t>
  </si>
  <si>
    <t>VALLEY</t>
  </si>
  <si>
    <t>Bruce Beven Burns (65), of Hidden Valley Lake, and Leonard Neft (69), of Anderson Springs;  Barbara McWilliams, 72. Anderson springs seems to be the same CP as Hidden Valley Lake; Robert Taylor Fletcher (66)</t>
  </si>
  <si>
    <t>https://www.timesheraldonline.com/2015/09/15/former-mercury-news-reporter-leonard-neft-missing-in-valley-fire/; https://www.pressdemocrat.com/article/news/remains-of-two-more-valley-fire-victims-found-in-lake-county/; https://www.cbsnews.com/sanfrancisco/news/4th-body-found-in-valley-fire-area-presumed-to-be-of-missing-man/; https://www.ksbw.com/article/fourth-body-found-in-burned-rubble-of-valley-fire/1057687; https://www.kcra.com/article/coroner-80-year-old-identified-as-2nd-man-killed-in-butte-fire/6424962</t>
  </si>
  <si>
    <t>Hidden Valley Lake CDP, California</t>
  </si>
  <si>
    <t>BULLY</t>
  </si>
  <si>
    <t>Jesus Arellano Garcia (35)</t>
  </si>
  <si>
    <t>https://wildfiretoday.com/tag/bully-fire/</t>
  </si>
  <si>
    <t>Ono</t>
  </si>
  <si>
    <t>CLOVER</t>
  </si>
  <si>
    <t>Brian Stanley Henry (55)</t>
  </si>
  <si>
    <t>https://www.upi.com/Top_News/US/2013/09/12/Northern-California-man-found-dead-in-home-burned-by-Clover-Fire/53041378964220/</t>
  </si>
  <si>
    <t>Calfire redbooks</t>
  </si>
  <si>
    <r>
      <rPr>
        <sz val="8"/>
        <color rgb="FF001D35"/>
        <rFont val="Century Gothic"/>
        <family val="1"/>
      </rPr>
      <t xml:space="preserve">Lois Arvikson (89), </t>
    </r>
    <r>
      <rPr>
        <u/>
        <sz val="8"/>
        <color rgb="FF1155CC"/>
        <rFont val="Century Gothic"/>
        <family val="1"/>
      </rPr>
      <t>Hannah Labelle (61)</t>
    </r>
  </si>
  <si>
    <t>see next page</t>
  </si>
  <si>
    <t>Larkfield-Wikiup CDP</t>
  </si>
  <si>
    <t>Lee Chadwick Roger (73), Garrett Paiz (38) was a fire fighter</t>
  </si>
  <si>
    <t>Top 20</t>
  </si>
  <si>
    <t>William (74) and Barbara Everett (73) were found at 2910 Rossmere Street</t>
  </si>
  <si>
    <t>https://www.cbsnews.com/colorado/news/police-identify-the-2-waldo-canyon-fire-victims/</t>
  </si>
  <si>
    <t>Manitou</t>
  </si>
  <si>
    <t xml:space="preserve">Elaine Brown (81), Bradley Williams Phillips (59), May Evelyn Norred Vance (75), Constance Reed (34), Chloe Reed (12), Lily Reed (9), Jon Summers (71) Janet Summers (61), John tegler (71), Marilyn Tegler (70), Alice Hagler (70), Pamela Jean Johnson (59), Robert A. Hejny (65), Ed Taylor (85), </t>
  </si>
  <si>
    <t>https://tennesseelookout.com/2022/04/01/federal-judge-in-tennessee-dismisses-suits-on-behalf-of-gatlinburg-wildfire-vicitms/#:~:text=In%20all%2C%2014%20people%20died,Sevier%20County%20in%20November%202016.; https://www.knoxnews.com/story/news/2017/08/10/autopsy-records-shed-new-light-gatlinburg-wildfire-deaths/556987001/</t>
  </si>
  <si>
    <t>Gatlinburg</t>
  </si>
  <si>
    <t>Douglas Gloege (59), Juan Deleon (45), Danilo Sagudang (55), Conchita Sagudang (75), Rodolfo Rocutan (76), Jonathan Somaoang (76), Angelita Vasquez (88), Melva Benjamin (71), Virginia Dofa (90), Alfredo Galinato (79), Robert Dyckman (74), Lawrenzo "Buddy" Jantoc II (79), Donna Gomes (71), Kirk Carter (44), Clyde Wakida (74), Todd Yamafuji (68), Antonia Molina (64), Freeman Tam Lung (80), Theresa Cook (72), Joseph Schilling (67), Narciso Baylosis Jr. (67), Vanessa Baylosis (67), Tau Ponali (66), Valerie Kauffman (78), Salvador Coloma (77), Carlo Tobias (54), Albert Kitaguchi (62), Lynn Manibog (74), Todd Nakamura (61), Bernard Portabes (75), Tony Takafua (7), Salote Tone (39), Faaoso Tone (70), Maluifonua Tone (73), Bette Jo Dyckman (73), Rebecca Rans (57), Roxanne Ibara-Hinau (68), Rogelio Mabalot (68), George Hall III (67), Pablo Pagdilao III (75), Coleen Jones (59), David Nuesca Jr. (59), Poomaikai Losano (28), Carolyn Ono (73), Eugene Recolizado (50), Mark Kaminsky (59), Joseph Lara (86), Gwendolyn Puou (83), Edward Sato (76), Leroy Wagner (69), Tim Nakamoto (69), Nicholas Turbin III (71), Anthony "Tony" Simpson (43), Glenda Yabes (48), John "Thumper" McCarthy (74), Louise Abihai (97), Floyd St. Clair (75), Leticia Constantino (56), Bibiana "Bhing" Lutrania (58), Glenn Yoshino (75), Rafael Imperial (63), Buddy Carter (85), Keyiro Fuentes (14), Maurice Buen (79), Marilou Dias (60), June Anbe (78), Michael Gordon (68), Carole Hartley (60), Janet St. Clair (75), Douglas Matsuda-Boucher (65), Revelina Tomboc (81), Morris Kaita (74), Richard Kam (88), Linda Vaikeli (69), Rex Cole (64), James Smith (79), Michael Morinho (61), Ediomede Pavian Castillo (35), Alfred Rawlings (84), Maria Victoria Recolizado (51), Justin Recolizado (11), Terri Thomas (62), Matsuyuki Osato (83), Felimon Quijano (61), Luz Bernabe (64), Joel Villegas (55), Adela Villegas (53), Angelica Baclig (31), Junmark Quijano (30), Allen John Constantino (25), Franklin Trejos (68), Laurie Allen (65), Michael Mahnensmith (80), Jeanne Eliason (57), Leslie Smith (80), Dale Richter (66), Michael Misaka (61), Lee Rogo (76), Sharlene Rabang (78), Lydia Coloma (70), Paul Kasprzycki (76), Claudette Heermance (68)</t>
  </si>
  <si>
    <t>https://www.kitv.com/news/lahaina/lives-lost-in-lahaina-all-of-the-people-who-perished-in-the-maui-fire/article_3b8e91ba-4122-11ee-a3f2-b73625af4d58.html</t>
  </si>
  <si>
    <t>Lahiaina</t>
  </si>
  <si>
    <t>Oswald Altmetz, 75
Carolyn Burns, 56, Dalyce Curry, 95, 
Edwin Cridland, 94
Erliene Kelley, 83
Barbara Lewis, 84
Evelyn McClendon, 59, Patricia McKenna, 77,
Anthony Mitchell, 68, Justin Mitchell, 35, 
Rodney Nickerson, 82
Victor Shaw, 66
Lora Swayne, 71, Kim Winiecki, 77, 
Zhi Feng Zhao, 84. Five unidentified Does</t>
  </si>
  <si>
    <t>Altadena</t>
  </si>
  <si>
    <t>https://www.nbcnews.com/news/us-news/california-wildfires-what-we-know-victims-killed-rcna188240; https://malibutimes.com/randall-l-miod-1969-2025; https://laist.com/news/climate-environment/eaton-palisades-fires-death-toll; https://laist.com/news/climate-environment/eaton-palisades-fires-death-toll; I am missing 1 person</t>
  </si>
  <si>
    <t xml:space="preserve">Arthur Simoneau, 69, </t>
  </si>
  <si>
    <t>https://laist.com/news/climate-environment/eaton-palisades-fires-death-toll</t>
  </si>
  <si>
    <t>Topanga</t>
  </si>
  <si>
    <t>Rory Sykes, 32,Jeffrey Takeyama, 69, Diana Webb, 82,Randall Lawrence Miod, 55,Betty O'Meara, 94,</t>
  </si>
  <si>
    <t>Malibu</t>
  </si>
  <si>
    <t>Age</t>
  </si>
  <si>
    <t>CDP</t>
  </si>
  <si>
    <t>Reference</t>
  </si>
  <si>
    <t>Tak-Fu Hung (101)</t>
  </si>
  <si>
    <t>https://www.pressdemocrat.com/2017/11/16/101-year-old-santa-rosa-man-now-among-firestorms-victims/?artslide=0</t>
  </si>
  <si>
    <t>Fountaingrove, Santa Rosa</t>
  </si>
  <si>
    <t>Arthur Tassman Grant</t>
  </si>
  <si>
    <t>https://www.kron4.com/news/love-at-first-sight-santa-rosa-elderly-couple-die-together-in-north-bay-firestorm/</t>
  </si>
  <si>
    <t>Mark West Springs Road area</t>
  </si>
  <si>
    <t>Marilyn Carol Ress</t>
  </si>
  <si>
    <t>https://www.sfgate.com/bayarea/article/Marilyn-Ress-gave-to-others-until-her-dying-day-12291960.php</t>
  </si>
  <si>
    <t>Journey's End Mobile Home Park in N. Santa Rosa</t>
  </si>
  <si>
    <t>Carol Collins-Swasey</t>
  </si>
  <si>
    <t>https://www.pressdemocrat.com/2017/10/23/carol-collins-swasey-tubbs-fire-victim-remembered-as-magic/</t>
  </si>
  <si>
    <t>Coffey Park, N. Santa Rosa exurbia</t>
  </si>
  <si>
    <t>Sharon Robinson</t>
  </si>
  <si>
    <t>https://www.sfgate.com/bayarea/article/California-wildfires-Sharon-Robinson-79-named-12280042.php</t>
  </si>
  <si>
    <t>Donner drive</t>
  </si>
  <si>
    <t>Karen Aycock</t>
  </si>
  <si>
    <t>https://www.sfgate.com/bayarea/article/California-wildfires-Karen-Aycock-54-dead-in-12280011.php</t>
  </si>
  <si>
    <t>Carmen Colleen McReynolds</t>
  </si>
  <si>
    <t>https://www.findagrave.com/memorial/260695477/carmen-colleen-mcreynolds</t>
  </si>
  <si>
    <t>Kilarney circle, N. Santa Rosa but S. Larkfield-Wikiup</t>
  </si>
  <si>
    <t>Suiko Grant</t>
  </si>
  <si>
    <t>Linda Tunis</t>
  </si>
  <si>
    <t>https://www.sfgate.com/news/article/Tubbs-Fire-claims-life-of-Linda-Tunis-a-recent-12271331.php</t>
  </si>
  <si>
    <t>Valerie Lynn Evans</t>
  </si>
  <si>
    <t>https://www.sfgate.com/bayarea/article/Santa-Rosa-animal-lover-dies-in-Tubbs-Fire-trying-12277333.php</t>
  </si>
  <si>
    <t>Monte Neil Kirven</t>
  </si>
  <si>
    <t>https://www.sfgate.com/bayarea/article/Noted-falcon-preservationist-killed-in-Tubbs-Fire-12289243.php</t>
  </si>
  <si>
    <t>Mark West Springs Road</t>
  </si>
  <si>
    <t>Veronica Elizabeth McCombs</t>
  </si>
  <si>
    <t>https://www.pressdemocrat.com/2017/10/23/remembering-the-victims-of-the-2017-north-bay-fires-2/#:~:text=Elizabeth%20McCombs%2C%2067-,Santa%20Rosa,unable%20to%20escape%20the%20flames.</t>
  </si>
  <si>
    <t>Daniel Martin Southard</t>
  </si>
  <si>
    <t>Bennett Ridge Rd</t>
  </si>
  <si>
    <t>Lynne Anderson Powell</t>
  </si>
  <si>
    <t>https://www.sfgate.com/bayarea/article/Lynne-Powell-endured-cancer-only-to-be-caught-by-12279946.php</t>
  </si>
  <si>
    <t>Mark West Springs Road.</t>
  </si>
  <si>
    <t>Marjorie Lenore Schwartz</t>
  </si>
  <si>
    <t>https://www.pressdemocrat.com/2017/12/30/remembering-the-northern-california-fire-victims-marnie-schwartz/</t>
  </si>
  <si>
    <t>Hopper Avenue (Coffey Park)</t>
  </si>
  <si>
    <t>Michael Azarian</t>
  </si>
  <si>
    <t>https://www.sfgate.com/bayarea/article/Santa-Rosa-man-dies-of-burns-becomes-44th-victim-12392529.php</t>
  </si>
  <si>
    <t>Michael John Dornbach</t>
  </si>
  <si>
    <t>https://www.sfgate.com/bayarea/article/California-wildfires-Michael-Dornbach-57-died-12280033.php</t>
  </si>
  <si>
    <t>Leroy Peter Halbur</t>
  </si>
  <si>
    <t>https://www.sacbee.com/news/california/fires/article178611226.html</t>
  </si>
  <si>
    <t>from Larkfield (Santa Rosa)</t>
  </si>
  <si>
    <t>Donna Mae Halbur</t>
  </si>
  <si>
    <t>Tamara Latrice Thomas</t>
  </si>
  <si>
    <t>https://www.ktvu.com/news/sonoma-county-sheriffs-office-identifies-remaining-two-fire-death-victims-in-county</t>
  </si>
  <si>
    <t>Carmen Caldentey Berriz</t>
  </si>
  <si>
    <t>https://www.sfgate.com/bayarea/article/Forced-by-Wine-Country-fire-into-a-swimming-pool-12274789.php</t>
  </si>
  <si>
    <t>crystal court- rural</t>
  </si>
  <si>
    <t>Michael Charles Grabow</t>
  </si>
  <si>
    <t>Michele Way</t>
  </si>
  <si>
    <t>Christina Hanson</t>
  </si>
  <si>
    <t>https://advance-lexis-com.proxy.library.ucsb.edu/document/?pdmfid=1519360&amp;crid=25161558-30a6-4027-aa66-a5b800a696e1&amp;pddocfullpath=%2Fshared%2Fdocument%2Fnews%2Furn%3AcontentItem%3A5R9D-HTB1-JC6P-C0XX-00000-00&amp;pdcontentcomponentid=474173&amp;pdteaserkey=sr44&amp;pditab=allpods&amp;ecomp=hc-yk&amp;earg=sr44&amp;prid=1f103102-3c0f-413c-afca-cca1cb6a5673</t>
  </si>
  <si>
    <t>disabled woman</t>
  </si>
  <si>
    <t xml:space="preserve">  Charles Mortimer, 84, Annette Rossilli, 85, Mark Shterenberg, 80, Elizabeth Morgan, 79, Jane Doe, Unknown; not identifiable to a cdp less than 50k</t>
  </si>
  <si>
    <t>Robert Bresnick. found in the 26700 block of Iron Canyon Road. In santa clarita, populaiton 229k. Excluded from analysis</t>
  </si>
  <si>
    <t>https://abc7.com/post/man-suffers-heart-attack-while-trying-to-battle-saddleridge-fire/5611487/?userab=abcn_du_cat_topic_feature_holdout-474*variant_b_redesign-1939%2Cabcn_news_for_you_exp-528*variant_c_bptt-2205</t>
  </si>
  <si>
    <t>https://www.cbsnews.com/losangeles/news/eaton-fire-death-toll-rises/; https://www.dailynews.com/2025/01/17/disabled-father-and-son-died-awaiting-rescue-from-eaton-fire/; https://laist.com/news/climate-environment/eaton-palisades-fires-death-toll</t>
  </si>
  <si>
    <t>incident report: https://s1.q4cdn.com/880135780/files/doc_downloads/2019/05/Atlas-Fire-LE-80_Redacted.pdf. I could only find location of 2 in Silvarado Resort. https://www.ktvu.com/news/granddaughter-napa-couple-dies-in-atlas-peak-fire; https://www.ktvu.com/news/north-bay-atlas-fire-fully-contained-this-evening; https://www.sfgate.com/bayarea/article/Teresa-Santos-Died-in-Napa-fire-atlas-survivor-12335737.php</t>
  </si>
  <si>
    <t>https://www.pressdemocrat.com/2017/12/30/remembering-the-northern-california-fire-victims-daniel-southard/</t>
  </si>
  <si>
    <t>https://www.sfgate.com/news/article/California-wildfires-Mike-Grabow-40-among-dead-12279761.php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</si>
</sst>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color rgb="FF000000"/>
      <name val="Arial"/>
      <scheme val="minor"/>
    </font>
    <font>
      <sz val="12"/>
      <color rgb="FF000000"/>
      <name val="Calibri"/>
      <family val="2"/>
    </font>
    <font>
      <sz val="10"/>
      <color theme="1"/>
      <name val="Arial"/>
      <family val="2"/>
      <scheme val="minor"/>
    </font>
    <font>
      <sz val="8"/>
      <color theme="1"/>
      <name val="Century Gothic"/>
      <family val="1"/>
    </font>
    <font>
      <sz val="8"/>
      <color rgb="FF303030"/>
      <name val="Century Gothic"/>
      <family val="1"/>
    </font>
    <font>
      <u/>
      <sz val="8"/>
      <color rgb="FF0000FF"/>
      <name val="Century Gothic"/>
      <family val="1"/>
    </font>
    <font>
      <sz val="8"/>
      <color rgb="FF001D35"/>
      <name val="Century Gothic"/>
      <family val="1"/>
    </font>
    <font>
      <sz val="8"/>
      <color rgb="FF000000"/>
      <name val="Century Gothic"/>
      <family val="1"/>
    </font>
    <font>
      <sz val="8"/>
      <color rgb="FF101010"/>
      <name val="Century Gothic"/>
      <family val="1"/>
    </font>
    <font>
      <sz val="8"/>
      <color rgb="FF141618"/>
      <name val="Century Gothic"/>
      <family val="1"/>
    </font>
    <font>
      <sz val="8"/>
      <color rgb="FF121212"/>
      <name val="Century Gothic"/>
      <family val="1"/>
    </font>
    <font>
      <u/>
      <sz val="8"/>
      <color rgb="FF001D35"/>
      <name val="Century Gothic"/>
      <family val="1"/>
    </font>
    <font>
      <sz val="8"/>
      <color rgb="FF404040"/>
      <name val="Century Gothic"/>
      <family val="1"/>
    </font>
    <font>
      <u/>
      <sz val="8"/>
      <color rgb="FF0000FF"/>
      <name val="Century Gothic"/>
      <family val="1"/>
    </font>
    <font>
      <sz val="8"/>
      <color rgb="FF0A0A0A"/>
      <name val="Century Gothic"/>
      <family val="1"/>
    </font>
    <font>
      <sz val="8"/>
      <color rgb="FF0D0D0D"/>
      <name val="Century Gothic"/>
      <family val="1"/>
    </font>
    <font>
      <sz val="8"/>
      <color rgb="FF222222"/>
      <name val="Century Gothic"/>
      <family val="1"/>
    </font>
    <font>
      <b/>
      <sz val="8"/>
      <color theme="1"/>
      <name val="Century Gothic"/>
      <family val="1"/>
    </font>
    <font>
      <b/>
      <sz val="8"/>
      <color rgb="FF1F2933"/>
      <name val="Century Gothic"/>
      <family val="1"/>
    </font>
    <font>
      <sz val="8"/>
      <color rgb="FF1F1F1F"/>
      <name val="Century Gothic"/>
      <family val="1"/>
    </font>
    <font>
      <sz val="10"/>
      <color rgb="FF2A2A2A"/>
      <name val="Century Gothic"/>
      <family val="1"/>
    </font>
    <font>
      <u/>
      <sz val="10"/>
      <color rgb="FF0000FF"/>
      <name val="Arial"/>
      <family val="2"/>
    </font>
    <font>
      <sz val="12"/>
      <color rgb="FF000000"/>
      <name val="&quot;Noto Sans&quot;"/>
    </font>
    <font>
      <sz val="11"/>
      <color rgb="FF212121"/>
      <name val="Verdana"/>
      <family val="2"/>
    </font>
    <font>
      <u/>
      <sz val="10"/>
      <color rgb="FF0000FF"/>
      <name val="Arial"/>
      <family val="2"/>
    </font>
    <font>
      <i/>
      <sz val="15"/>
      <color rgb="FF000000"/>
      <name val="&quot;Source Sans Pro&quot;"/>
    </font>
    <font>
      <sz val="14"/>
      <color rgb="FF000000"/>
      <name val="&quot;DM Sans&quot;"/>
    </font>
    <font>
      <sz val="15"/>
      <color rgb="FF040C28"/>
      <name val="&quot;Google Sans&quot;"/>
    </font>
    <font>
      <sz val="14"/>
      <color rgb="FF1F2933"/>
      <name val="&quot;Noto Serif&quot;"/>
    </font>
    <font>
      <u/>
      <sz val="8"/>
      <color rgb="FF0000FF"/>
      <name val="Century Gothic"/>
      <family val="1"/>
    </font>
    <font>
      <u/>
      <sz val="8"/>
      <color rgb="FF1155CC"/>
      <name val="Century Gothic"/>
      <family val="1"/>
    </font>
    <font>
      <u/>
      <sz val="10"/>
      <color theme="10"/>
      <name val="Arial"/>
      <family val="2"/>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2">
    <xf numFmtId="0" fontId="0" fillId="0" borderId="0"/>
    <xf numFmtId="0" fontId="31" fillId="0" borderId="0" applyNumberFormat="0" applyFill="0" applyBorder="0" applyAlignment="0" applyProtection="0"/>
  </cellStyleXfs>
  <cellXfs count="37">
    <xf numFmtId="0" fontId="0" fillId="0" borderId="0" xfId="0"/>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horizontal="right"/>
    </xf>
    <xf numFmtId="0" fontId="8"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3" fillId="0" borderId="0" xfId="0" applyFont="1" applyAlignment="1">
      <alignment horizontal="right"/>
    </xf>
    <xf numFmtId="0" fontId="1" fillId="0" borderId="0" xfId="0" applyFont="1" applyAlignment="1">
      <alignment horizontal="right"/>
    </xf>
    <xf numFmtId="0" fontId="3" fillId="0" borderId="0" xfId="0" applyFont="1"/>
    <xf numFmtId="0" fontId="7" fillId="0" borderId="0" xfId="0" applyFont="1" applyAlignment="1">
      <alignment wrapText="1"/>
    </xf>
    <xf numFmtId="0" fontId="14" fillId="0" borderId="0" xfId="0" applyFont="1" applyAlignment="1">
      <alignment wrapText="1"/>
    </xf>
    <xf numFmtId="0" fontId="7" fillId="0" borderId="0" xfId="0" applyFont="1"/>
    <xf numFmtId="0" fontId="15" fillId="0" borderId="0" xfId="0" applyFont="1" applyAlignment="1">
      <alignment wrapText="1"/>
    </xf>
    <xf numFmtId="0" fontId="16" fillId="0" borderId="0" xfId="0" applyFont="1" applyAlignment="1">
      <alignment wrapText="1"/>
    </xf>
    <xf numFmtId="0" fontId="7" fillId="0" borderId="0" xfId="0" applyFont="1" applyAlignment="1">
      <alignment horizontal="left" wrapText="1"/>
    </xf>
    <xf numFmtId="0" fontId="17" fillId="0" borderId="0" xfId="0" applyFont="1" applyAlignment="1">
      <alignment wrapText="1"/>
    </xf>
    <xf numFmtId="0" fontId="18" fillId="2" borderId="0" xfId="0" applyFont="1" applyFill="1"/>
    <xf numFmtId="0" fontId="8" fillId="0" borderId="0" xfId="0" applyFont="1"/>
    <xf numFmtId="3" fontId="19" fillId="2" borderId="0" xfId="0" applyNumberFormat="1" applyFont="1" applyFill="1"/>
    <xf numFmtId="0" fontId="20" fillId="2" borderId="0" xfId="0" applyFont="1" applyFill="1" applyAlignment="1">
      <alignment wrapText="1"/>
    </xf>
    <xf numFmtId="0" fontId="2" fillId="0" borderId="0" xfId="0" applyFont="1"/>
    <xf numFmtId="0" fontId="21" fillId="0" borderId="0" xfId="0" applyFont="1"/>
    <xf numFmtId="0" fontId="22" fillId="2" borderId="0" xfId="0" applyFont="1" applyFill="1"/>
    <xf numFmtId="0" fontId="23" fillId="2" borderId="0" xfId="0" applyFont="1" applyFill="1" applyAlignment="1">
      <alignment horizontal="left"/>
    </xf>
    <xf numFmtId="0" fontId="24" fillId="0" borderId="0" xfId="0" applyFont="1"/>
    <xf numFmtId="0" fontId="25" fillId="2" borderId="0" xfId="0" applyFont="1" applyFill="1"/>
    <xf numFmtId="0" fontId="26" fillId="0" borderId="0" xfId="0" applyFont="1"/>
    <xf numFmtId="0" fontId="27" fillId="0" borderId="0" xfId="0" applyFont="1"/>
    <xf numFmtId="0" fontId="28" fillId="2" borderId="0" xfId="0" applyFont="1" applyFill="1" applyAlignment="1">
      <alignment horizontal="left"/>
    </xf>
    <xf numFmtId="0" fontId="29" fillId="0" borderId="0" xfId="0" applyFont="1"/>
    <xf numFmtId="0" fontId="31"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krcrtv.com/north-coast-news/eureka-local-news/officials-confirm-second-death-from-slater-fire-thursday" TargetMode="External"/><Relationship Id="rId13" Type="http://schemas.openxmlformats.org/officeDocument/2006/relationships/hyperlink" Target="https://www.kcra.com/article/these-are-the-victims-of-camp-fire/32885128" TargetMode="External"/><Relationship Id="rId18" Type="http://schemas.openxmlformats.org/officeDocument/2006/relationships/hyperlink" Target="https://www.independent.com/2017/12/20/victims-thomas-fire/" TargetMode="External"/><Relationship Id="rId26" Type="http://schemas.openxmlformats.org/officeDocument/2006/relationships/hyperlink" Target="https://laist.com/news/climate-environment/eaton-palisades-fires-death-toll" TargetMode="External"/><Relationship Id="rId3" Type="http://schemas.openxmlformats.org/officeDocument/2006/relationships/hyperlink" Target="https://www.desertsun.com/story/news/2022/10/12/two-people-who-died-fairview-fire-officially-identified/10476125002/" TargetMode="External"/><Relationship Id="rId21" Type="http://schemas.openxmlformats.org/officeDocument/2006/relationships/hyperlink" Target="https://wildfiretoday.com/tag/bully-fire/" TargetMode="External"/><Relationship Id="rId7" Type="http://schemas.openxmlformats.org/officeDocument/2006/relationships/hyperlink" Target="https://www.latimes.com/california/story/2020-09-15/california-fires-berry-creek-death-toll-rises" TargetMode="External"/><Relationship Id="rId12" Type="http://schemas.openxmlformats.org/officeDocument/2006/relationships/hyperlink" Target="https://www.kcra.com/article/these-are-the-victims-of-camp-fire/32885128" TargetMode="External"/><Relationship Id="rId17" Type="http://schemas.openxmlformats.org/officeDocument/2006/relationships/hyperlink" Target="https://mendovoice.com/2022/10/three-years-ago-tonight-redwood-valley-potter-valley-burned-remembering-the-redwood-fire/" TargetMode="External"/><Relationship Id="rId25" Type="http://schemas.openxmlformats.org/officeDocument/2006/relationships/hyperlink" Target="https://laist.com/news/climate-environment/eaton-palisades-fires-death-toll" TargetMode="External"/><Relationship Id="rId2" Type="http://schemas.openxmlformats.org/officeDocument/2006/relationships/hyperlink" Target="https://kobi5.com/news/victims-killed-in-mill-fire-publicly-identified-195600/" TargetMode="External"/><Relationship Id="rId16" Type="http://schemas.openxmlformats.org/officeDocument/2006/relationships/hyperlink" Target="https://www.sacbee.com/news/california/fires/article179743136.html" TargetMode="External"/><Relationship Id="rId20" Type="http://schemas.openxmlformats.org/officeDocument/2006/relationships/hyperlink" Target="https://www.nbclosangeles.com/news/body-identified-in-sand-fire-death-firefighters-continue-to-fight-blaze/52716/" TargetMode="External"/><Relationship Id="rId1" Type="http://schemas.openxmlformats.org/officeDocument/2006/relationships/hyperlink" Target="https://www.siskiyoudaily.com/story/news/2023/08/18/a-scott-bar-siskiyou-count-mans-body-found-in-driveway-head-fire/70624551007/" TargetMode="External"/><Relationship Id="rId6" Type="http://schemas.openxmlformats.org/officeDocument/2006/relationships/hyperlink" Target="https://www.ksbw.com/article/california-wildfire-killing-woman-dating-app/64773500" TargetMode="External"/><Relationship Id="rId11" Type="http://schemas.openxmlformats.org/officeDocument/2006/relationships/hyperlink" Target="https://www.sfgate.com/news/article/Firefighters-battle-Klamathon-blaze-amid-fierce-13057911.php" TargetMode="External"/><Relationship Id="rId24" Type="http://schemas.openxmlformats.org/officeDocument/2006/relationships/hyperlink" Target="https://www.kitv.com/news/lahaina/lives-lost-in-lahaina-all-of-the-people-who-perished-in-the-maui-fire/article_3b8e91ba-4122-11ee-a3f2-b73625af4d58.html" TargetMode="External"/><Relationship Id="rId5" Type="http://schemas.openxmlformats.org/officeDocument/2006/relationships/hyperlink" Target="https://abc7news.com/post/3-napa-residents-killed-in-lnu-lightning-complex-fire-identified/6399841/" TargetMode="External"/><Relationship Id="rId15" Type="http://schemas.openxmlformats.org/officeDocument/2006/relationships/hyperlink" Target="https://www.sacbee.com/news/california/fires/article179743136.html" TargetMode="External"/><Relationship Id="rId23" Type="http://schemas.openxmlformats.org/officeDocument/2006/relationships/hyperlink" Target="https://www.cbsnews.com/colorado/news/police-identify-the-2-waldo-canyon-fire-victims/" TargetMode="External"/><Relationship Id="rId28" Type="http://schemas.openxmlformats.org/officeDocument/2006/relationships/hyperlink" Target="https://abc7.com/post/man-suffers-heart-attack-while-trying-to-battle-saddleridge-fire/5611487/?userab=abcn_du_cat_topic_feature_holdout-474*variant_b_redesign-1939%2Cabcn_news_for_you_exp-528*variant_c_bptt-2205" TargetMode="External"/><Relationship Id="rId10" Type="http://schemas.openxmlformats.org/officeDocument/2006/relationships/hyperlink" Target="https://www.google.com/search?rlz=1C5CHFA_enUS1092US1092&amp;cs=0&amp;sca_esv=db9cdbb1b8ffe5c0&amp;sxsrf=AE3TifN1jZli0GLUqsPEbP6L9varYcgdeA%3A1755223781524&amp;q=Hannah+Labelle&amp;sa=X&amp;ved=2ahUKEwju_uOP3ouPAxUbkO4BHUqSDpYQxccNegQIBBAB&amp;mstk=AUtExfA0OUuKWI1ismsNx9CiWf7EnGkzlcyV9XJzIskqt2JFvTM5UHOXbYFQUz909ylBze0nneRoAM98GWFUyuF66T6q2KkbEzPhrtLBjOVLFDEdOHJlpC3bcMMlOLaG-M8tHQIMtuklkwoNySQIpQ2iJ7V9OyHrmMoVzot2bHk30enN_k9d1LlzVBRatAreBU9KV5cmRx8B2zd5ALaoXKnZd3sGREPHcEh0uoR7rOyUCwo98GYaja_GlDaPplTZBZomHeG8J5Hv_xxhmlqh4QmTgqC1&amp;csui=3" TargetMode="External"/><Relationship Id="rId19" Type="http://schemas.openxmlformats.org/officeDocument/2006/relationships/hyperlink" Target="https://www.sgvtribune.com/2016/06/21/fish-fire-reservoir-fire-burn-combined-4500-acres-in-san-gabriel-mountains-near-azusa-duarte/" TargetMode="External"/><Relationship Id="rId4" Type="http://schemas.openxmlformats.org/officeDocument/2006/relationships/hyperlink" Target="https://www.cbsnews.com/sanfrancisco/news/czu-lighting-complex-fire-victim-died-trying-to-flee-flames-6-rescued-while-trying-to-return-to-evacuated-homes/" TargetMode="External"/><Relationship Id="rId9" Type="http://schemas.openxmlformats.org/officeDocument/2006/relationships/hyperlink" Target="https://mynews4.com/news/local/neighborhood-decimated-by-mountainview-fire-leaves-one-neighbor-dead" TargetMode="External"/><Relationship Id="rId14" Type="http://schemas.openxmlformats.org/officeDocument/2006/relationships/hyperlink" Target="https://www.kcra.com/article/these-are-the-victims-of-camp-fire/32885128" TargetMode="External"/><Relationship Id="rId22" Type="http://schemas.openxmlformats.org/officeDocument/2006/relationships/hyperlink" Target="https://www.upi.com/Top_News/US/2013/09/12/Northern-California-man-found-dead-in-home-burned-by-Clover-Fire/53041378964220/" TargetMode="External"/><Relationship Id="rId27" Type="http://schemas.openxmlformats.org/officeDocument/2006/relationships/hyperlink" Target="https://www.nbcnews.com/news/us-news/garbage-truck-driver-arrested-california-sandalwood-fire-killed-two-people-n1257978;%20Calimesa%20Mobile%20Home%20Park"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kron4.com/news/love-at-first-sight-santa-rosa-elderly-couple-die-together-in-north-bay-firestorm/" TargetMode="External"/><Relationship Id="rId13" Type="http://schemas.openxmlformats.org/officeDocument/2006/relationships/hyperlink" Target="https://www.sfgate.com/bayarea/article/Lynne-Powell-endured-cancer-only-to-be-caught-by-12279946.php" TargetMode="External"/><Relationship Id="rId18" Type="http://schemas.openxmlformats.org/officeDocument/2006/relationships/hyperlink" Target="https://www.sacbee.com/news/california/fires/article178611226.html" TargetMode="External"/><Relationship Id="rId3" Type="http://schemas.openxmlformats.org/officeDocument/2006/relationships/hyperlink" Target="https://www.sfgate.com/bayarea/article/Marilyn-Ress-gave-to-others-until-her-dying-day-12291960.php" TargetMode="External"/><Relationship Id="rId21" Type="http://schemas.openxmlformats.org/officeDocument/2006/relationships/hyperlink" Target="https://advance-lexis-com.proxy.library.ucsb.edu/document/?pdmfid=1519360&amp;crid=25161558-30a6-4027-aa66-a5b800a696e1&amp;pddocfullpath=%2Fshared%2Fdocument%2Fnews%2Furn%3AcontentItem%3A5R9D-HTB1-JC6P-C0XX-00000-00&amp;pdcontentcomponentid=474173&amp;pdteaserkey=sr44&amp;pditab=allpods&amp;ecomp=hc-yk&amp;earg=sr44&amp;prid=1f103102-3c0f-413c-afca-cca1cb6a5673" TargetMode="External"/><Relationship Id="rId7" Type="http://schemas.openxmlformats.org/officeDocument/2006/relationships/hyperlink" Target="https://www.findagrave.com/memorial/260695477/carmen-colleen-mcreynolds" TargetMode="External"/><Relationship Id="rId12" Type="http://schemas.openxmlformats.org/officeDocument/2006/relationships/hyperlink" Target="https://www.pressdemocrat.com/2017/10/23/remembering-the-victims-of-the-2017-north-bay-fires-2/" TargetMode="External"/><Relationship Id="rId17" Type="http://schemas.openxmlformats.org/officeDocument/2006/relationships/hyperlink" Target="https://www.sacbee.com/news/california/fires/article178611226.html" TargetMode="External"/><Relationship Id="rId2" Type="http://schemas.openxmlformats.org/officeDocument/2006/relationships/hyperlink" Target="https://www.kron4.com/news/love-at-first-sight-santa-rosa-elderly-couple-die-together-in-north-bay-firestorm/" TargetMode="External"/><Relationship Id="rId16" Type="http://schemas.openxmlformats.org/officeDocument/2006/relationships/hyperlink" Target="https://www.sfgate.com/bayarea/article/California-wildfires-Michael-Dornbach-57-died-12280033.php" TargetMode="External"/><Relationship Id="rId20" Type="http://schemas.openxmlformats.org/officeDocument/2006/relationships/hyperlink" Target="https://www.sfgate.com/bayarea/article/Forced-by-Wine-Country-fire-into-a-swimming-pool-12274789.php" TargetMode="External"/><Relationship Id="rId1" Type="http://schemas.openxmlformats.org/officeDocument/2006/relationships/hyperlink" Target="https://www.pressdemocrat.com/2017/11/16/101-year-old-santa-rosa-man-now-among-firestorms-victims/?artslide=0" TargetMode="External"/><Relationship Id="rId6" Type="http://schemas.openxmlformats.org/officeDocument/2006/relationships/hyperlink" Target="https://www.sfgate.com/bayarea/article/California-wildfires-Karen-Aycock-54-dead-in-12280011.php" TargetMode="External"/><Relationship Id="rId11" Type="http://schemas.openxmlformats.org/officeDocument/2006/relationships/hyperlink" Target="https://www.sfgate.com/bayarea/article/Noted-falcon-preservationist-killed-in-Tubbs-Fire-12289243.php" TargetMode="External"/><Relationship Id="rId5" Type="http://schemas.openxmlformats.org/officeDocument/2006/relationships/hyperlink" Target="https://www.sfgate.com/bayarea/article/California-wildfires-Sharon-Robinson-79-named-12280042.php" TargetMode="External"/><Relationship Id="rId15" Type="http://schemas.openxmlformats.org/officeDocument/2006/relationships/hyperlink" Target="https://www.sfgate.com/bayarea/article/Santa-Rosa-man-dies-of-burns-becomes-44th-victim-12392529.php" TargetMode="External"/><Relationship Id="rId10" Type="http://schemas.openxmlformats.org/officeDocument/2006/relationships/hyperlink" Target="https://www.sfgate.com/bayarea/article/Santa-Rosa-animal-lover-dies-in-Tubbs-Fire-trying-12277333.php" TargetMode="External"/><Relationship Id="rId19" Type="http://schemas.openxmlformats.org/officeDocument/2006/relationships/hyperlink" Target="https://www.ktvu.com/news/sonoma-county-sheriffs-office-identifies-remaining-two-fire-death-victims-in-county" TargetMode="External"/><Relationship Id="rId4" Type="http://schemas.openxmlformats.org/officeDocument/2006/relationships/hyperlink" Target="https://www.pressdemocrat.com/2017/10/23/carol-collins-swasey-tubbs-fire-victim-remembered-as-magic/" TargetMode="External"/><Relationship Id="rId9" Type="http://schemas.openxmlformats.org/officeDocument/2006/relationships/hyperlink" Target="https://www.sfgate.com/news/article/Tubbs-Fire-claims-life-of-Linda-Tunis-a-recent-12271331.php" TargetMode="External"/><Relationship Id="rId14" Type="http://schemas.openxmlformats.org/officeDocument/2006/relationships/hyperlink" Target="https://www.pressdemocrat.com/2017/12/30/remembering-the-northern-california-fire-victims-marnie-schwart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999"/>
  <sheetViews>
    <sheetView topLeftCell="D1" zoomScale="131" workbookViewId="0">
      <pane ySplit="1" topLeftCell="A29" activePane="bottomLeft" state="frozen"/>
      <selection pane="bottomLeft" activeCell="F44" sqref="F44"/>
    </sheetView>
  </sheetViews>
  <sheetFormatPr baseColWidth="10" defaultColWidth="12.6640625" defaultRowHeight="15.75" customHeight="1"/>
  <cols>
    <col min="3" max="3" width="40.1640625" customWidth="1"/>
    <col min="5" max="6" width="44.6640625" customWidth="1"/>
  </cols>
  <sheetData>
    <row r="1" spans="1:28" ht="15.75" customHeight="1">
      <c r="A1" s="1" t="s">
        <v>0</v>
      </c>
      <c r="B1" s="1" t="s">
        <v>2</v>
      </c>
      <c r="C1" s="1" t="s">
        <v>1</v>
      </c>
      <c r="D1" s="1" t="s">
        <v>14</v>
      </c>
      <c r="E1" s="1" t="s">
        <v>4</v>
      </c>
      <c r="F1" s="1" t="s">
        <v>15</v>
      </c>
      <c r="G1" s="1" t="s">
        <v>16</v>
      </c>
      <c r="H1" s="1" t="s">
        <v>17</v>
      </c>
      <c r="I1" s="1" t="s">
        <v>18</v>
      </c>
      <c r="J1" s="1" t="s">
        <v>19</v>
      </c>
      <c r="K1" s="1" t="s">
        <v>3</v>
      </c>
      <c r="L1" s="1" t="s">
        <v>20</v>
      </c>
      <c r="M1" s="1"/>
      <c r="N1" s="1"/>
      <c r="O1" s="1"/>
      <c r="P1" s="1"/>
      <c r="Q1" s="1"/>
      <c r="R1" s="1"/>
      <c r="S1" s="1"/>
      <c r="T1" s="1"/>
      <c r="U1" s="1"/>
      <c r="V1" s="1"/>
      <c r="W1" s="1"/>
      <c r="X1" s="1"/>
      <c r="Y1" s="1"/>
      <c r="Z1" s="1"/>
      <c r="AA1" s="1"/>
      <c r="AB1" s="1"/>
    </row>
    <row r="2" spans="1:28" ht="15.75" customHeight="1">
      <c r="A2" s="1" t="s">
        <v>139</v>
      </c>
      <c r="B2" s="12">
        <v>2023</v>
      </c>
      <c r="C2" s="14" t="s">
        <v>9</v>
      </c>
      <c r="D2" s="12">
        <v>102</v>
      </c>
      <c r="E2" s="14" t="s">
        <v>146</v>
      </c>
      <c r="F2" s="3" t="s">
        <v>147</v>
      </c>
      <c r="G2" s="1"/>
      <c r="H2" s="1">
        <v>102</v>
      </c>
      <c r="I2" s="1" t="s">
        <v>148</v>
      </c>
      <c r="J2" s="1">
        <v>13261</v>
      </c>
      <c r="K2" s="14">
        <v>4</v>
      </c>
      <c r="L2" s="5">
        <v>0.95480226000000001</v>
      </c>
      <c r="M2" s="1"/>
      <c r="N2" s="1"/>
      <c r="O2" s="1"/>
      <c r="P2" s="1"/>
      <c r="Q2" s="1"/>
      <c r="R2" s="1"/>
      <c r="S2" s="1"/>
      <c r="T2" s="1"/>
      <c r="U2" s="1"/>
      <c r="V2" s="1"/>
      <c r="W2" s="1"/>
      <c r="X2" s="1"/>
      <c r="Y2" s="1"/>
      <c r="Z2" s="1"/>
      <c r="AA2" s="1"/>
      <c r="AB2" s="1"/>
    </row>
    <row r="3" spans="1:28" ht="15.75" customHeight="1">
      <c r="A3" s="1" t="s">
        <v>134</v>
      </c>
      <c r="B3" s="1">
        <v>2018</v>
      </c>
      <c r="C3" s="1" t="s">
        <v>74</v>
      </c>
      <c r="D3" s="1">
        <v>66</v>
      </c>
      <c r="E3" s="1" t="s">
        <v>75</v>
      </c>
      <c r="F3" s="3" t="s">
        <v>76</v>
      </c>
      <c r="G3" s="1"/>
      <c r="H3" s="1">
        <f>D3-G3</f>
        <v>66</v>
      </c>
      <c r="I3" s="1" t="s">
        <v>77</v>
      </c>
      <c r="J3" s="12">
        <v>7730</v>
      </c>
      <c r="K3" s="12">
        <v>6</v>
      </c>
      <c r="L3" s="12">
        <v>0.93220338999999997</v>
      </c>
      <c r="M3" s="1"/>
      <c r="N3" s="1"/>
      <c r="O3" s="1"/>
      <c r="P3" s="1"/>
      <c r="Q3" s="1"/>
      <c r="R3" s="1"/>
      <c r="S3" s="1"/>
      <c r="T3" s="1"/>
      <c r="U3" s="1"/>
      <c r="V3" s="1"/>
      <c r="W3" s="1"/>
      <c r="X3" s="1"/>
      <c r="Y3" s="1"/>
      <c r="Z3" s="1"/>
      <c r="AA3" s="1"/>
      <c r="AB3" s="1"/>
    </row>
    <row r="4" spans="1:28" ht="15.75" customHeight="1">
      <c r="A4" s="1" t="s">
        <v>139</v>
      </c>
      <c r="B4" s="1">
        <v>2025</v>
      </c>
      <c r="C4" s="1" t="s">
        <v>8</v>
      </c>
      <c r="D4" s="1">
        <v>19</v>
      </c>
      <c r="E4" s="1" t="s">
        <v>149</v>
      </c>
      <c r="F4" s="1" t="s">
        <v>219</v>
      </c>
      <c r="G4" s="1"/>
      <c r="H4" s="1">
        <v>19</v>
      </c>
      <c r="I4" s="1" t="s">
        <v>150</v>
      </c>
      <c r="J4" s="24">
        <v>41921</v>
      </c>
      <c r="K4" s="5">
        <v>20</v>
      </c>
      <c r="L4" s="5">
        <v>0.77401129999999996</v>
      </c>
      <c r="M4" s="1"/>
      <c r="N4" s="1"/>
      <c r="O4" s="1"/>
      <c r="P4" s="1"/>
      <c r="Q4" s="1"/>
      <c r="R4" s="1"/>
      <c r="S4" s="1"/>
      <c r="T4" s="1"/>
      <c r="U4" s="1"/>
      <c r="V4" s="1"/>
      <c r="W4" s="1"/>
      <c r="X4" s="1"/>
      <c r="Y4" s="1"/>
      <c r="Z4" s="1"/>
      <c r="AA4" s="1"/>
      <c r="AB4" s="1"/>
    </row>
    <row r="5" spans="1:28" ht="15.75" customHeight="1">
      <c r="A5" s="1" t="s">
        <v>134</v>
      </c>
      <c r="B5" s="1">
        <v>2020</v>
      </c>
      <c r="C5" s="1" t="s">
        <v>52</v>
      </c>
      <c r="D5" s="1">
        <v>16</v>
      </c>
      <c r="E5" s="1" t="s">
        <v>53</v>
      </c>
      <c r="F5" s="36" t="s">
        <v>54</v>
      </c>
      <c r="G5" s="1">
        <v>3</v>
      </c>
      <c r="H5" s="1">
        <f>D5-G5</f>
        <v>13</v>
      </c>
      <c r="I5" s="1" t="s">
        <v>55</v>
      </c>
      <c r="J5" s="1">
        <v>1190</v>
      </c>
      <c r="K5" s="1">
        <v>3</v>
      </c>
      <c r="L5" s="5">
        <v>0.96610169000000001</v>
      </c>
      <c r="M5" s="1"/>
      <c r="N5" s="1"/>
      <c r="O5" s="1"/>
      <c r="P5" s="1"/>
      <c r="Q5" s="1"/>
      <c r="R5" s="1"/>
      <c r="S5" s="1"/>
      <c r="T5" s="1"/>
      <c r="U5" s="1"/>
      <c r="V5" s="1"/>
      <c r="W5" s="1"/>
      <c r="X5" s="1"/>
      <c r="Y5" s="1"/>
      <c r="Z5" s="1"/>
      <c r="AA5" s="1"/>
      <c r="AB5" s="1"/>
    </row>
    <row r="6" spans="1:28" ht="15.75" customHeight="1">
      <c r="A6" s="1" t="s">
        <v>139</v>
      </c>
      <c r="B6" s="12">
        <v>2016</v>
      </c>
      <c r="C6" s="14" t="s">
        <v>6</v>
      </c>
      <c r="D6" s="12">
        <v>14</v>
      </c>
      <c r="E6" s="1" t="s">
        <v>143</v>
      </c>
      <c r="F6" s="1" t="s">
        <v>144</v>
      </c>
      <c r="G6" s="1">
        <v>2</v>
      </c>
      <c r="H6" s="1">
        <v>12</v>
      </c>
      <c r="I6" s="1" t="s">
        <v>145</v>
      </c>
      <c r="J6" s="1">
        <v>3684</v>
      </c>
      <c r="K6" s="1">
        <v>9</v>
      </c>
      <c r="L6" s="5">
        <v>0.89830507999999998</v>
      </c>
      <c r="M6" s="1"/>
      <c r="N6" s="1"/>
      <c r="O6" s="1"/>
      <c r="P6" s="1"/>
      <c r="Q6" s="1"/>
      <c r="R6" s="1"/>
      <c r="S6" s="1"/>
      <c r="T6" s="1"/>
      <c r="U6" s="1"/>
      <c r="V6" s="1"/>
      <c r="W6" s="1"/>
      <c r="X6" s="1"/>
      <c r="Y6" s="1"/>
      <c r="Z6" s="1"/>
      <c r="AA6" s="1"/>
      <c r="AB6" s="1"/>
    </row>
    <row r="7" spans="1:28" ht="15.75" customHeight="1">
      <c r="A7" s="1" t="s">
        <v>134</v>
      </c>
      <c r="B7" s="1">
        <v>2017</v>
      </c>
      <c r="C7" s="1" t="s">
        <v>91</v>
      </c>
      <c r="D7" s="1"/>
      <c r="E7" s="22" t="s">
        <v>136</v>
      </c>
      <c r="F7" s="1"/>
      <c r="G7" s="1"/>
      <c r="H7" s="1">
        <v>11</v>
      </c>
      <c r="I7" s="14" t="s">
        <v>137</v>
      </c>
      <c r="J7" s="1">
        <v>7595</v>
      </c>
      <c r="K7" s="5">
        <v>11</v>
      </c>
      <c r="L7" s="5">
        <v>0.87570621000000004</v>
      </c>
      <c r="M7" s="1"/>
      <c r="N7" s="1"/>
      <c r="O7" s="1"/>
      <c r="P7" s="1"/>
      <c r="Q7" s="1"/>
      <c r="R7" s="1"/>
      <c r="S7" s="1"/>
      <c r="T7" s="1"/>
      <c r="U7" s="1"/>
      <c r="V7" s="1"/>
      <c r="W7" s="1"/>
      <c r="X7" s="1"/>
      <c r="Y7" s="1"/>
      <c r="Z7" s="1"/>
      <c r="AA7" s="1"/>
      <c r="AB7" s="1"/>
    </row>
    <row r="8" spans="1:28" ht="15.75" customHeight="1">
      <c r="A8" s="1" t="s">
        <v>134</v>
      </c>
      <c r="B8" s="1">
        <v>2018</v>
      </c>
      <c r="C8" s="1" t="s">
        <v>74</v>
      </c>
      <c r="D8" s="1">
        <v>9</v>
      </c>
      <c r="E8" s="1" t="s">
        <v>78</v>
      </c>
      <c r="F8" s="36" t="s">
        <v>76</v>
      </c>
      <c r="G8" s="1"/>
      <c r="H8" s="1">
        <f>D8-G8</f>
        <v>9</v>
      </c>
      <c r="I8" s="1" t="s">
        <v>79</v>
      </c>
      <c r="J8" s="12">
        <v>306</v>
      </c>
      <c r="K8" s="12">
        <v>6</v>
      </c>
      <c r="L8" s="5">
        <v>0.93220338999999997</v>
      </c>
      <c r="M8" s="1"/>
      <c r="N8" s="1"/>
      <c r="O8" s="1"/>
      <c r="P8" s="1"/>
      <c r="Q8" s="1"/>
      <c r="R8" s="1"/>
      <c r="S8" s="1"/>
      <c r="T8" s="1"/>
      <c r="U8" s="1"/>
      <c r="V8" s="1"/>
      <c r="W8" s="1"/>
      <c r="X8" s="1"/>
      <c r="Y8" s="1"/>
      <c r="Z8" s="1"/>
      <c r="AA8" s="1"/>
      <c r="AB8" s="1"/>
    </row>
    <row r="9" spans="1:28" ht="15.75" customHeight="1">
      <c r="A9" s="1" t="s">
        <v>134</v>
      </c>
      <c r="B9" s="1">
        <v>2018</v>
      </c>
      <c r="C9" s="1" t="s">
        <v>74</v>
      </c>
      <c r="D9" s="1">
        <v>9</v>
      </c>
      <c r="E9" s="1" t="s">
        <v>80</v>
      </c>
      <c r="F9" s="3" t="s">
        <v>76</v>
      </c>
      <c r="G9" s="1"/>
      <c r="H9" s="1">
        <f>D9-G9</f>
        <v>9</v>
      </c>
      <c r="I9" s="1" t="s">
        <v>81</v>
      </c>
      <c r="J9" s="12">
        <v>10537</v>
      </c>
      <c r="K9" s="12">
        <v>10</v>
      </c>
      <c r="L9" s="5">
        <v>0.89830507999999998</v>
      </c>
      <c r="M9" s="1"/>
      <c r="N9" s="1"/>
      <c r="O9" s="1"/>
      <c r="P9" s="1"/>
      <c r="Q9" s="1"/>
      <c r="R9" s="1"/>
      <c r="S9" s="1"/>
      <c r="T9" s="1"/>
      <c r="U9" s="1"/>
      <c r="V9" s="1"/>
      <c r="W9" s="1"/>
      <c r="X9" s="1"/>
      <c r="Y9" s="1"/>
      <c r="Z9" s="1"/>
      <c r="AA9" s="1"/>
      <c r="AB9" s="1"/>
    </row>
    <row r="10" spans="1:28" ht="15.75" customHeight="1">
      <c r="A10" s="1" t="s">
        <v>134</v>
      </c>
      <c r="B10" s="1">
        <v>2017</v>
      </c>
      <c r="C10" s="1" t="s">
        <v>96</v>
      </c>
      <c r="D10" s="1">
        <v>9</v>
      </c>
      <c r="E10" s="1"/>
      <c r="F10" s="3" t="s">
        <v>13</v>
      </c>
      <c r="G10" s="1"/>
      <c r="H10" s="1">
        <f>D10-G10</f>
        <v>9</v>
      </c>
      <c r="I10" s="1" t="s">
        <v>7</v>
      </c>
      <c r="J10" s="1">
        <v>1798</v>
      </c>
      <c r="K10" s="5">
        <v>12</v>
      </c>
      <c r="L10" s="5">
        <v>0.86440678000000004</v>
      </c>
      <c r="M10" s="1"/>
      <c r="N10" s="1"/>
      <c r="O10" s="1"/>
      <c r="P10" s="1"/>
      <c r="Q10" s="1"/>
      <c r="R10" s="1"/>
      <c r="S10" s="1"/>
      <c r="T10" s="1"/>
      <c r="U10" s="1"/>
      <c r="V10" s="1"/>
      <c r="W10" s="1"/>
      <c r="X10" s="1"/>
      <c r="Y10" s="1"/>
      <c r="Z10" s="1"/>
      <c r="AA10" s="1"/>
      <c r="AB10" s="1"/>
    </row>
    <row r="11" spans="1:28" ht="15.75" customHeight="1">
      <c r="A11" s="1" t="s">
        <v>139</v>
      </c>
      <c r="B11" s="1">
        <v>2025</v>
      </c>
      <c r="C11" s="1" t="s">
        <v>10</v>
      </c>
      <c r="D11" s="1"/>
      <c r="E11" s="1" t="s">
        <v>155</v>
      </c>
      <c r="F11" s="3" t="s">
        <v>153</v>
      </c>
      <c r="G11" s="1"/>
      <c r="H11" s="1">
        <v>5</v>
      </c>
      <c r="I11" s="1" t="s">
        <v>156</v>
      </c>
      <c r="J11" s="1">
        <v>10915</v>
      </c>
      <c r="K11" s="1">
        <v>14.5</v>
      </c>
      <c r="L11" s="13">
        <v>0.83615819000000002</v>
      </c>
      <c r="M11" s="1"/>
      <c r="N11" s="1"/>
      <c r="O11" s="1"/>
      <c r="P11" s="1"/>
      <c r="Q11" s="1"/>
      <c r="R11" s="1"/>
      <c r="S11" s="1"/>
      <c r="T11" s="1"/>
      <c r="U11" s="1"/>
      <c r="V11" s="1"/>
      <c r="W11" s="1"/>
      <c r="X11" s="1"/>
      <c r="Y11" s="1"/>
      <c r="Z11" s="1"/>
      <c r="AA11" s="1"/>
      <c r="AB11" s="1"/>
    </row>
    <row r="12" spans="1:28" ht="15.75" customHeight="1">
      <c r="A12" s="1" t="s">
        <v>134</v>
      </c>
      <c r="B12" s="1">
        <v>2017</v>
      </c>
      <c r="C12" s="1" t="s">
        <v>97</v>
      </c>
      <c r="D12" s="1">
        <v>4</v>
      </c>
      <c r="E12" s="1" t="s">
        <v>98</v>
      </c>
      <c r="F12" s="14" t="s">
        <v>220</v>
      </c>
      <c r="G12" s="1"/>
      <c r="H12" s="1">
        <f>D12-G12</f>
        <v>4</v>
      </c>
      <c r="I12" s="1" t="s">
        <v>99</v>
      </c>
      <c r="J12" s="1">
        <v>926</v>
      </c>
      <c r="K12" s="5">
        <v>3</v>
      </c>
      <c r="L12" s="5">
        <v>0.96610169000000001</v>
      </c>
      <c r="M12" s="1"/>
      <c r="N12" s="1"/>
      <c r="O12" s="1"/>
      <c r="P12" s="1"/>
      <c r="Q12" s="1"/>
      <c r="R12" s="1"/>
      <c r="S12" s="1"/>
      <c r="T12" s="1"/>
      <c r="U12" s="1"/>
      <c r="V12" s="1"/>
      <c r="W12" s="1"/>
      <c r="X12" s="1"/>
      <c r="Y12" s="1"/>
      <c r="Z12" s="1"/>
      <c r="AA12" s="1"/>
      <c r="AB12" s="1"/>
    </row>
    <row r="13" spans="1:28" ht="15.75" customHeight="1">
      <c r="A13" s="1" t="s">
        <v>134</v>
      </c>
      <c r="B13" s="1">
        <v>2018</v>
      </c>
      <c r="C13" s="1" t="s">
        <v>70</v>
      </c>
      <c r="D13" s="1">
        <v>4</v>
      </c>
      <c r="E13" s="7" t="s">
        <v>71</v>
      </c>
      <c r="F13" s="1" t="s">
        <v>72</v>
      </c>
      <c r="G13" s="1"/>
      <c r="H13" s="1">
        <f>D13-G13</f>
        <v>4</v>
      </c>
      <c r="I13" s="1" t="s">
        <v>73</v>
      </c>
      <c r="J13" s="1">
        <v>141</v>
      </c>
      <c r="K13" s="5">
        <v>3</v>
      </c>
      <c r="L13" s="5">
        <v>0.96610169000000001</v>
      </c>
      <c r="M13" s="1"/>
      <c r="N13" s="1"/>
      <c r="O13" s="1"/>
      <c r="P13" s="1"/>
      <c r="Q13" s="1"/>
      <c r="R13" s="1"/>
      <c r="S13" s="1"/>
      <c r="T13" s="1"/>
      <c r="U13" s="1"/>
      <c r="V13" s="1"/>
      <c r="W13" s="1"/>
      <c r="X13" s="1"/>
      <c r="Y13" s="1"/>
      <c r="Z13" s="1"/>
      <c r="AA13" s="1"/>
      <c r="AB13" s="1"/>
    </row>
    <row r="14" spans="1:28" ht="15.75" customHeight="1">
      <c r="A14" s="1" t="s">
        <v>134</v>
      </c>
      <c r="B14" s="1">
        <v>2022</v>
      </c>
      <c r="C14" s="1" t="s">
        <v>33</v>
      </c>
      <c r="D14" s="1">
        <v>4</v>
      </c>
      <c r="E14" s="4" t="s">
        <v>34</v>
      </c>
      <c r="F14" s="1" t="s">
        <v>35</v>
      </c>
      <c r="G14" s="1"/>
      <c r="H14" s="1">
        <f>D14-G14</f>
        <v>4</v>
      </c>
      <c r="I14" s="1" t="s">
        <v>36</v>
      </c>
      <c r="J14" s="1">
        <v>946</v>
      </c>
      <c r="K14" s="1">
        <v>4</v>
      </c>
      <c r="L14" s="5">
        <v>0.95480226000000001</v>
      </c>
      <c r="M14" s="1"/>
      <c r="N14" s="1"/>
      <c r="O14" s="1"/>
      <c r="P14" s="1"/>
      <c r="Q14" s="1"/>
      <c r="R14" s="1"/>
      <c r="S14" s="1"/>
      <c r="T14" s="1"/>
      <c r="U14" s="1"/>
      <c r="V14" s="1"/>
      <c r="W14" s="1"/>
      <c r="X14" s="1"/>
      <c r="Y14" s="1"/>
      <c r="Z14" s="1"/>
      <c r="AA14" s="1"/>
      <c r="AB14" s="1"/>
    </row>
    <row r="15" spans="1:28" ht="15.75" customHeight="1">
      <c r="A15" s="1" t="s">
        <v>134</v>
      </c>
      <c r="B15" s="1">
        <v>2015</v>
      </c>
      <c r="C15" s="1" t="s">
        <v>123</v>
      </c>
      <c r="D15" s="1">
        <v>4</v>
      </c>
      <c r="E15" s="19" t="s">
        <v>124</v>
      </c>
      <c r="F15" s="1" t="s">
        <v>125</v>
      </c>
      <c r="G15" s="1"/>
      <c r="H15" s="1">
        <f>D15-G15</f>
        <v>4</v>
      </c>
      <c r="I15" s="1" t="s">
        <v>126</v>
      </c>
      <c r="J15" s="1">
        <v>6155</v>
      </c>
      <c r="K15" s="1">
        <v>2</v>
      </c>
      <c r="L15" s="5">
        <v>0.97740112999999995</v>
      </c>
      <c r="M15" s="1"/>
      <c r="N15" s="1"/>
      <c r="O15" s="1"/>
      <c r="P15" s="1"/>
      <c r="Q15" s="1"/>
      <c r="R15" s="1"/>
      <c r="S15" s="1"/>
      <c r="T15" s="1"/>
      <c r="U15" s="1"/>
      <c r="V15" s="1"/>
      <c r="W15" s="1"/>
      <c r="X15" s="1"/>
      <c r="Y15" s="1"/>
      <c r="Z15" s="1"/>
      <c r="AA15" s="1"/>
      <c r="AB15" s="1"/>
    </row>
    <row r="16" spans="1:28" ht="15.75" customHeight="1">
      <c r="A16" s="1" t="s">
        <v>134</v>
      </c>
      <c r="B16" s="1">
        <v>2020</v>
      </c>
      <c r="C16" s="1" t="s">
        <v>48</v>
      </c>
      <c r="D16" s="1">
        <v>4</v>
      </c>
      <c r="E16" s="2" t="s">
        <v>49</v>
      </c>
      <c r="F16" s="1" t="s">
        <v>50</v>
      </c>
      <c r="G16" s="1"/>
      <c r="H16" s="1">
        <f>D16-G16</f>
        <v>4</v>
      </c>
      <c r="I16" s="1" t="s">
        <v>51</v>
      </c>
      <c r="J16" s="1">
        <v>148</v>
      </c>
      <c r="K16" s="1">
        <v>5</v>
      </c>
      <c r="L16" s="5">
        <v>0.94350281999999996</v>
      </c>
      <c r="M16" s="1"/>
      <c r="N16" s="1"/>
      <c r="O16" s="1"/>
      <c r="P16" s="1"/>
      <c r="Q16" s="1"/>
      <c r="R16" s="1"/>
      <c r="S16" s="1"/>
      <c r="T16" s="1"/>
      <c r="U16" s="1"/>
      <c r="V16" s="1"/>
      <c r="W16" s="1"/>
      <c r="X16" s="1"/>
      <c r="Y16" s="1"/>
      <c r="Z16" s="1"/>
      <c r="AA16" s="1"/>
      <c r="AB16" s="1"/>
    </row>
    <row r="17" spans="1:28" ht="15.75" customHeight="1">
      <c r="A17" s="1" t="s">
        <v>134</v>
      </c>
      <c r="B17" s="1">
        <v>2017</v>
      </c>
      <c r="C17" s="1" t="s">
        <v>86</v>
      </c>
      <c r="D17" s="1">
        <v>3</v>
      </c>
      <c r="E17" s="1" t="s">
        <v>87</v>
      </c>
      <c r="F17" s="3" t="s">
        <v>88</v>
      </c>
      <c r="G17" s="1"/>
      <c r="H17" s="1">
        <f>D17-G17</f>
        <v>3</v>
      </c>
      <c r="I17" s="1" t="s">
        <v>89</v>
      </c>
      <c r="J17" s="1">
        <v>2782</v>
      </c>
      <c r="K17" s="1">
        <v>6</v>
      </c>
      <c r="L17" s="5">
        <v>0.93220338999999997</v>
      </c>
      <c r="M17" s="1"/>
      <c r="N17" s="1"/>
      <c r="O17" s="1"/>
      <c r="P17" s="1"/>
      <c r="Q17" s="1"/>
      <c r="R17" s="1"/>
      <c r="S17" s="1"/>
      <c r="T17" s="1"/>
      <c r="U17" s="1"/>
      <c r="V17" s="1"/>
      <c r="W17" s="1"/>
      <c r="X17" s="1"/>
      <c r="Y17" s="1"/>
      <c r="Z17" s="1"/>
      <c r="AA17" s="1"/>
      <c r="AB17" s="1"/>
    </row>
    <row r="18" spans="1:28" ht="15.75" customHeight="1">
      <c r="A18" s="1" t="s">
        <v>134</v>
      </c>
      <c r="B18" s="1">
        <v>2020</v>
      </c>
      <c r="C18" s="1" t="s">
        <v>41</v>
      </c>
      <c r="D18" s="1">
        <v>3</v>
      </c>
      <c r="E18" s="7" t="s">
        <v>42</v>
      </c>
      <c r="F18" s="3" t="s">
        <v>43</v>
      </c>
      <c r="G18" s="1"/>
      <c r="H18" s="1">
        <f>D18-G18</f>
        <v>3</v>
      </c>
      <c r="I18" s="1" t="s">
        <v>44</v>
      </c>
      <c r="J18" s="1">
        <v>109</v>
      </c>
      <c r="K18" s="1">
        <v>4</v>
      </c>
      <c r="L18" s="5">
        <v>0.95480226000000001</v>
      </c>
      <c r="M18" s="1"/>
      <c r="N18" s="1"/>
      <c r="O18" s="1"/>
      <c r="P18" s="1"/>
      <c r="Q18" s="1"/>
      <c r="R18" s="1"/>
      <c r="S18" s="1"/>
      <c r="T18" s="1"/>
      <c r="U18" s="1"/>
      <c r="V18" s="1"/>
      <c r="W18" s="1"/>
      <c r="X18" s="1"/>
      <c r="Y18" s="1"/>
      <c r="Z18" s="1"/>
      <c r="AA18" s="1"/>
      <c r="AB18" s="1"/>
    </row>
    <row r="19" spans="1:28" ht="15.75" customHeight="1">
      <c r="A19" s="1" t="s">
        <v>134</v>
      </c>
      <c r="B19" s="1">
        <v>2017</v>
      </c>
      <c r="C19" s="1" t="s">
        <v>97</v>
      </c>
      <c r="D19" s="1">
        <v>2</v>
      </c>
      <c r="E19" s="1" t="s">
        <v>100</v>
      </c>
      <c r="F19" s="14" t="s">
        <v>101</v>
      </c>
      <c r="G19" s="1"/>
      <c r="H19" s="1">
        <f>D19-G19</f>
        <v>2</v>
      </c>
      <c r="I19" s="1" t="s">
        <v>44</v>
      </c>
      <c r="J19" s="1">
        <v>109</v>
      </c>
      <c r="K19" s="1">
        <v>4</v>
      </c>
      <c r="L19" s="5">
        <v>0.95480226000000001</v>
      </c>
      <c r="M19" s="1"/>
      <c r="N19" s="1"/>
      <c r="O19" s="1"/>
      <c r="P19" s="1"/>
      <c r="Q19" s="1"/>
      <c r="R19" s="1"/>
      <c r="S19" s="1"/>
      <c r="T19" s="1"/>
      <c r="U19" s="1"/>
      <c r="V19" s="1"/>
      <c r="W19" s="1"/>
      <c r="X19" s="1"/>
      <c r="Y19" s="1"/>
      <c r="Z19" s="1"/>
      <c r="AA19" s="1"/>
      <c r="AB19" s="1"/>
    </row>
    <row r="20" spans="1:28" ht="15.75" customHeight="1">
      <c r="A20" s="1" t="s">
        <v>134</v>
      </c>
      <c r="B20" s="1">
        <v>2016</v>
      </c>
      <c r="C20" s="1" t="s">
        <v>106</v>
      </c>
      <c r="D20" s="1">
        <v>2</v>
      </c>
      <c r="E20" s="1"/>
      <c r="F20" s="1" t="s">
        <v>107</v>
      </c>
      <c r="G20" s="1"/>
      <c r="H20" s="1">
        <f>D20-G20</f>
        <v>2</v>
      </c>
      <c r="I20" s="17" t="s">
        <v>108</v>
      </c>
      <c r="J20" s="1">
        <v>366</v>
      </c>
      <c r="K20" s="1">
        <v>3</v>
      </c>
      <c r="L20" s="5">
        <v>0.96610169000000001</v>
      </c>
      <c r="M20" s="1"/>
      <c r="N20" s="1"/>
      <c r="O20" s="1"/>
      <c r="P20" s="1"/>
      <c r="Q20" s="1"/>
      <c r="R20" s="1"/>
      <c r="S20" s="1"/>
      <c r="T20" s="1"/>
      <c r="U20" s="1"/>
      <c r="V20" s="1"/>
      <c r="W20" s="1"/>
      <c r="X20" s="1"/>
      <c r="Y20" s="1"/>
      <c r="Z20" s="1"/>
      <c r="AA20" s="1"/>
      <c r="AB20" s="1"/>
    </row>
    <row r="21" spans="1:28" ht="15.75" customHeight="1">
      <c r="A21" s="1" t="s">
        <v>134</v>
      </c>
      <c r="B21" s="1">
        <v>2015</v>
      </c>
      <c r="C21" s="1" t="s">
        <v>119</v>
      </c>
      <c r="D21" s="1">
        <v>2</v>
      </c>
      <c r="E21" s="1" t="s">
        <v>120</v>
      </c>
      <c r="F21" s="1" t="s">
        <v>121</v>
      </c>
      <c r="G21" s="1"/>
      <c r="H21" s="1">
        <f>D21-G21</f>
        <v>2</v>
      </c>
      <c r="I21" s="1" t="s">
        <v>122</v>
      </c>
      <c r="J21" s="1">
        <v>256</v>
      </c>
      <c r="K21" s="1">
        <v>2</v>
      </c>
      <c r="L21" s="5">
        <v>0.97740112999999995</v>
      </c>
      <c r="M21" s="1"/>
      <c r="N21" s="1"/>
      <c r="O21" s="1"/>
      <c r="P21" s="1"/>
      <c r="Q21" s="1"/>
      <c r="R21" s="1"/>
      <c r="S21" s="1"/>
      <c r="T21" s="1"/>
      <c r="U21" s="1"/>
      <c r="V21" s="1"/>
      <c r="W21" s="1"/>
      <c r="X21" s="1"/>
      <c r="Y21" s="1"/>
      <c r="Z21" s="1"/>
      <c r="AA21" s="1"/>
      <c r="AB21" s="1"/>
    </row>
    <row r="22" spans="1:28" ht="15.75" customHeight="1">
      <c r="A22" s="1" t="s">
        <v>134</v>
      </c>
      <c r="B22" s="1">
        <v>2016</v>
      </c>
      <c r="C22" s="1" t="s">
        <v>112</v>
      </c>
      <c r="D22" s="1">
        <v>2</v>
      </c>
      <c r="E22" s="4" t="s">
        <v>113</v>
      </c>
      <c r="F22" s="1" t="s">
        <v>114</v>
      </c>
      <c r="G22" s="1"/>
      <c r="H22" s="1">
        <f>D22-G22</f>
        <v>2</v>
      </c>
      <c r="I22" s="1" t="s">
        <v>115</v>
      </c>
      <c r="J22" s="1">
        <v>3553</v>
      </c>
      <c r="K22" s="1">
        <v>5</v>
      </c>
      <c r="L22" s="5">
        <v>0.94350281999999996</v>
      </c>
      <c r="M22" s="1"/>
      <c r="N22" s="1"/>
      <c r="O22" s="1"/>
      <c r="P22" s="1"/>
      <c r="Q22" s="1"/>
      <c r="R22" s="1"/>
      <c r="S22" s="1"/>
      <c r="T22" s="1"/>
      <c r="U22" s="1"/>
      <c r="V22" s="1"/>
      <c r="W22" s="1"/>
      <c r="X22" s="1"/>
      <c r="Y22" s="1"/>
      <c r="Z22" s="1"/>
      <c r="AA22" s="1"/>
      <c r="AB22" s="1"/>
    </row>
    <row r="23" spans="1:28" ht="15.75" customHeight="1">
      <c r="A23" s="1" t="s">
        <v>134</v>
      </c>
      <c r="B23" s="1">
        <v>2022</v>
      </c>
      <c r="C23" s="1" t="s">
        <v>29</v>
      </c>
      <c r="D23" s="1">
        <v>2</v>
      </c>
      <c r="E23" s="4" t="s">
        <v>30</v>
      </c>
      <c r="F23" s="3" t="s">
        <v>31</v>
      </c>
      <c r="G23" s="1"/>
      <c r="H23" s="1">
        <f>D23-G23</f>
        <v>2</v>
      </c>
      <c r="I23" s="1" t="s">
        <v>32</v>
      </c>
      <c r="J23" s="1">
        <v>19998</v>
      </c>
      <c r="K23" s="1">
        <v>21</v>
      </c>
      <c r="L23" s="5">
        <v>0.76271186000000002</v>
      </c>
      <c r="M23" s="1"/>
      <c r="N23" s="1"/>
      <c r="O23" s="1"/>
      <c r="P23" s="1"/>
      <c r="Q23" s="1"/>
      <c r="R23" s="1"/>
      <c r="S23" s="1"/>
      <c r="T23" s="1"/>
      <c r="U23" s="1"/>
      <c r="V23" s="1"/>
      <c r="W23" s="1"/>
      <c r="X23" s="1"/>
      <c r="Y23" s="1"/>
      <c r="Z23" s="1"/>
      <c r="AA23" s="1"/>
      <c r="AB23" s="1"/>
    </row>
    <row r="24" spans="1:28" ht="15.75" customHeight="1">
      <c r="A24" s="1" t="s">
        <v>134</v>
      </c>
      <c r="B24" s="1">
        <v>2020</v>
      </c>
      <c r="C24" s="1" t="s">
        <v>41</v>
      </c>
      <c r="D24" s="1">
        <v>2</v>
      </c>
      <c r="E24" s="7" t="s">
        <v>45</v>
      </c>
      <c r="F24" s="3" t="s">
        <v>46</v>
      </c>
      <c r="G24" s="1"/>
      <c r="H24" s="1">
        <f>D24-G24</f>
        <v>2</v>
      </c>
      <c r="I24" s="1" t="s">
        <v>47</v>
      </c>
      <c r="J24" s="1">
        <v>1760</v>
      </c>
      <c r="K24" s="1">
        <v>5</v>
      </c>
      <c r="L24" s="5">
        <v>0.94350281999999996</v>
      </c>
      <c r="M24" s="1"/>
      <c r="N24" s="1"/>
      <c r="O24" s="1"/>
      <c r="P24" s="1"/>
      <c r="Q24" s="1"/>
      <c r="R24" s="1"/>
      <c r="S24" s="1"/>
      <c r="T24" s="1"/>
      <c r="U24" s="1"/>
      <c r="V24" s="1"/>
      <c r="W24" s="1"/>
      <c r="X24" s="1"/>
      <c r="Y24" s="1"/>
      <c r="Z24" s="1"/>
      <c r="AA24" s="1"/>
      <c r="AB24" s="1"/>
    </row>
    <row r="25" spans="1:28" ht="15.75" customHeight="1">
      <c r="A25" s="1" t="s">
        <v>134</v>
      </c>
      <c r="B25" s="1">
        <v>2022</v>
      </c>
      <c r="C25" s="1" t="s">
        <v>25</v>
      </c>
      <c r="D25" s="1">
        <v>2</v>
      </c>
      <c r="E25" s="4" t="s">
        <v>26</v>
      </c>
      <c r="F25" s="3" t="s">
        <v>27</v>
      </c>
      <c r="G25" s="1"/>
      <c r="H25" s="1">
        <f>D25-G25</f>
        <v>2</v>
      </c>
      <c r="I25" s="1" t="s">
        <v>28</v>
      </c>
      <c r="J25" s="1">
        <v>2870</v>
      </c>
      <c r="K25" s="1">
        <v>5</v>
      </c>
      <c r="L25" s="5">
        <v>0.94350281999999996</v>
      </c>
      <c r="M25" s="1"/>
      <c r="N25" s="1"/>
      <c r="O25" s="1"/>
      <c r="P25" s="1"/>
      <c r="Q25" s="1"/>
      <c r="R25" s="1"/>
      <c r="S25" s="1"/>
      <c r="T25" s="1"/>
      <c r="U25" s="1"/>
      <c r="V25" s="1"/>
      <c r="W25" s="1"/>
      <c r="X25" s="1"/>
      <c r="Y25" s="1"/>
      <c r="Z25" s="1"/>
      <c r="AA25" s="1"/>
      <c r="AB25" s="1"/>
    </row>
    <row r="26" spans="1:28" ht="15.75" customHeight="1">
      <c r="A26" s="1" t="s">
        <v>134</v>
      </c>
      <c r="B26" s="1">
        <v>2019</v>
      </c>
      <c r="C26" s="1" t="s">
        <v>62</v>
      </c>
      <c r="D26" s="1">
        <v>2</v>
      </c>
      <c r="E26" s="9" t="s">
        <v>135</v>
      </c>
      <c r="F26" s="36" t="s">
        <v>63</v>
      </c>
      <c r="G26" s="1"/>
      <c r="H26" s="1">
        <f>D26-G26</f>
        <v>2</v>
      </c>
      <c r="I26" s="1" t="s">
        <v>64</v>
      </c>
      <c r="J26" s="1">
        <v>10053</v>
      </c>
      <c r="K26" s="1">
        <v>17</v>
      </c>
      <c r="L26" s="5">
        <v>0.80790960000000001</v>
      </c>
      <c r="M26" s="1"/>
      <c r="N26" s="1"/>
      <c r="O26" s="1"/>
      <c r="P26" s="1"/>
      <c r="Q26" s="1"/>
      <c r="R26" s="1"/>
      <c r="S26" s="1"/>
      <c r="T26" s="1"/>
      <c r="U26" s="1"/>
      <c r="V26" s="1"/>
      <c r="W26" s="1"/>
      <c r="X26" s="1"/>
      <c r="Y26" s="1"/>
      <c r="Z26" s="1"/>
      <c r="AA26" s="1"/>
      <c r="AB26" s="1"/>
    </row>
    <row r="27" spans="1:28" ht="15.75" customHeight="1">
      <c r="A27" s="1" t="s">
        <v>134</v>
      </c>
      <c r="B27" s="1">
        <v>2020</v>
      </c>
      <c r="C27" s="1" t="s">
        <v>56</v>
      </c>
      <c r="D27" s="1">
        <v>2</v>
      </c>
      <c r="E27" s="1"/>
      <c r="F27" s="3" t="s">
        <v>57</v>
      </c>
      <c r="G27" s="1"/>
      <c r="H27" s="1">
        <f>D27-G27</f>
        <v>2</v>
      </c>
      <c r="I27" s="1" t="s">
        <v>24</v>
      </c>
      <c r="J27" s="1">
        <v>854</v>
      </c>
      <c r="K27" s="1">
        <v>3</v>
      </c>
      <c r="L27" s="1">
        <v>0.96610169499999998</v>
      </c>
      <c r="M27" s="1"/>
      <c r="N27" s="1"/>
      <c r="O27" s="1"/>
      <c r="P27" s="1"/>
      <c r="Q27" s="1"/>
      <c r="R27" s="1"/>
      <c r="S27" s="1"/>
      <c r="T27" s="1"/>
      <c r="U27" s="1"/>
      <c r="V27" s="1"/>
      <c r="W27" s="1"/>
      <c r="X27" s="1"/>
      <c r="Y27" s="1"/>
      <c r="Z27" s="1"/>
      <c r="AA27" s="1"/>
      <c r="AB27" s="1"/>
    </row>
    <row r="28" spans="1:28" ht="15.75" customHeight="1">
      <c r="A28" s="1" t="s">
        <v>139</v>
      </c>
      <c r="B28" s="12">
        <v>2012</v>
      </c>
      <c r="C28" s="14" t="s">
        <v>5</v>
      </c>
      <c r="D28" s="12">
        <v>2</v>
      </c>
      <c r="E28" s="23" t="s">
        <v>140</v>
      </c>
      <c r="F28" s="3" t="s">
        <v>141</v>
      </c>
      <c r="G28" s="1"/>
      <c r="H28" s="1">
        <v>2</v>
      </c>
      <c r="I28" s="1" t="s">
        <v>142</v>
      </c>
      <c r="J28" s="1">
        <v>235</v>
      </c>
      <c r="K28" s="14">
        <v>3</v>
      </c>
      <c r="L28" s="5">
        <v>0.96610169000000001</v>
      </c>
      <c r="M28" s="1"/>
      <c r="N28" s="1"/>
      <c r="O28" s="1"/>
      <c r="P28" s="1"/>
      <c r="Q28" s="1"/>
      <c r="R28" s="1"/>
      <c r="S28" s="1"/>
      <c r="T28" s="1"/>
      <c r="U28" s="1"/>
      <c r="V28" s="1"/>
      <c r="W28" s="1"/>
      <c r="X28" s="1"/>
      <c r="Y28" s="1"/>
      <c r="Z28" s="1"/>
      <c r="AA28" s="1"/>
      <c r="AB28" s="1"/>
    </row>
    <row r="29" spans="1:28" ht="15.75" customHeight="1">
      <c r="A29" s="1" t="s">
        <v>134</v>
      </c>
      <c r="B29" s="1">
        <v>2014</v>
      </c>
      <c r="C29" s="1" t="s">
        <v>127</v>
      </c>
      <c r="D29" s="1">
        <v>1</v>
      </c>
      <c r="E29" s="20" t="s">
        <v>128</v>
      </c>
      <c r="F29" s="11" t="s">
        <v>129</v>
      </c>
      <c r="G29" s="1"/>
      <c r="H29" s="1">
        <f>D29-G29</f>
        <v>1</v>
      </c>
      <c r="I29" s="1" t="s">
        <v>130</v>
      </c>
      <c r="J29" s="1">
        <v>72</v>
      </c>
      <c r="K29" s="1">
        <v>2</v>
      </c>
      <c r="L29" s="5">
        <v>0.97740112999999995</v>
      </c>
      <c r="M29" s="1"/>
      <c r="N29" s="1"/>
      <c r="O29" s="1"/>
      <c r="P29" s="1"/>
      <c r="Q29" s="1"/>
      <c r="R29" s="1"/>
      <c r="S29" s="1"/>
      <c r="T29" s="1"/>
      <c r="U29" s="1"/>
      <c r="V29" s="1"/>
      <c r="W29" s="1"/>
      <c r="X29" s="1"/>
      <c r="Y29" s="1"/>
      <c r="Z29" s="1"/>
      <c r="AA29" s="1"/>
      <c r="AB29" s="1"/>
    </row>
    <row r="30" spans="1:28" ht="15.75" customHeight="1">
      <c r="A30" s="1" t="s">
        <v>134</v>
      </c>
      <c r="B30" s="1">
        <v>2017</v>
      </c>
      <c r="C30" s="1" t="s">
        <v>86</v>
      </c>
      <c r="D30" s="1">
        <v>1</v>
      </c>
      <c r="E30" s="1" t="s">
        <v>87</v>
      </c>
      <c r="F30" s="3" t="s">
        <v>88</v>
      </c>
      <c r="G30" s="1"/>
      <c r="H30" s="1">
        <f>D30-G30</f>
        <v>1</v>
      </c>
      <c r="I30" s="1" t="s">
        <v>90</v>
      </c>
      <c r="J30" s="1">
        <v>13500</v>
      </c>
      <c r="K30" s="1">
        <v>20</v>
      </c>
      <c r="L30" s="5">
        <v>0.77401129999999996</v>
      </c>
      <c r="M30" s="1"/>
      <c r="N30" s="1"/>
      <c r="O30" s="1"/>
      <c r="P30" s="1"/>
      <c r="Q30" s="1"/>
      <c r="R30" s="1"/>
      <c r="S30" s="1"/>
      <c r="T30" s="1"/>
      <c r="U30" s="1"/>
      <c r="V30" s="1"/>
      <c r="W30" s="1"/>
      <c r="X30" s="1"/>
      <c r="Y30" s="1"/>
      <c r="Z30" s="1"/>
      <c r="AA30" s="1"/>
      <c r="AB30" s="1"/>
    </row>
    <row r="31" spans="1:28" ht="15.75" customHeight="1">
      <c r="A31" s="1" t="s">
        <v>134</v>
      </c>
      <c r="B31" s="1">
        <v>2013</v>
      </c>
      <c r="C31" s="1" t="s">
        <v>131</v>
      </c>
      <c r="D31" s="1">
        <v>1</v>
      </c>
      <c r="E31" s="15" t="s">
        <v>132</v>
      </c>
      <c r="F31" s="3" t="s">
        <v>133</v>
      </c>
      <c r="G31" s="1"/>
      <c r="H31" s="1">
        <f>D31-G31</f>
        <v>1</v>
      </c>
      <c r="I31" s="1" t="s">
        <v>51</v>
      </c>
      <c r="J31" s="1">
        <v>148</v>
      </c>
      <c r="K31" s="1">
        <v>5</v>
      </c>
      <c r="L31" s="5">
        <v>0.94350281999999996</v>
      </c>
      <c r="M31" s="1"/>
      <c r="N31" s="1"/>
      <c r="O31" s="1"/>
      <c r="P31" s="1"/>
      <c r="Q31" s="1"/>
      <c r="R31" s="1"/>
      <c r="S31" s="1"/>
      <c r="T31" s="1"/>
      <c r="U31" s="1"/>
      <c r="V31" s="1"/>
      <c r="W31" s="1"/>
      <c r="X31" s="1"/>
      <c r="Y31" s="1"/>
      <c r="Z31" s="1"/>
      <c r="AA31" s="1"/>
      <c r="AB31" s="1"/>
    </row>
    <row r="32" spans="1:28" ht="15.75" customHeight="1">
      <c r="A32" s="1" t="s">
        <v>134</v>
      </c>
      <c r="B32" s="1">
        <v>2020</v>
      </c>
      <c r="C32" s="1" t="s">
        <v>37</v>
      </c>
      <c r="D32" s="1">
        <v>1</v>
      </c>
      <c r="E32" s="6" t="s">
        <v>38</v>
      </c>
      <c r="F32" s="3" t="s">
        <v>39</v>
      </c>
      <c r="G32" s="1"/>
      <c r="H32" s="1">
        <f>D32-G32</f>
        <v>1</v>
      </c>
      <c r="I32" s="1" t="s">
        <v>40</v>
      </c>
      <c r="J32" s="1">
        <v>688</v>
      </c>
      <c r="K32" s="1">
        <v>4</v>
      </c>
      <c r="L32" s="5">
        <v>0.95480226000000001</v>
      </c>
      <c r="M32" s="1"/>
      <c r="N32" s="1"/>
      <c r="O32" s="1"/>
      <c r="P32" s="1"/>
      <c r="Q32" s="1"/>
      <c r="R32" s="1"/>
      <c r="S32" s="1"/>
      <c r="T32" s="1"/>
      <c r="U32" s="1"/>
      <c r="V32" s="1"/>
      <c r="W32" s="1"/>
      <c r="X32" s="1"/>
      <c r="Y32" s="1"/>
      <c r="Z32" s="1"/>
      <c r="AA32" s="1"/>
      <c r="AB32" s="1"/>
    </row>
    <row r="33" spans="1:28" ht="15.75" customHeight="1">
      <c r="A33" s="1" t="s">
        <v>134</v>
      </c>
      <c r="B33" s="1">
        <v>2023</v>
      </c>
      <c r="C33" s="1" t="s">
        <v>21</v>
      </c>
      <c r="D33" s="1">
        <v>1</v>
      </c>
      <c r="E33" s="2" t="s">
        <v>22</v>
      </c>
      <c r="F33" s="3" t="s">
        <v>23</v>
      </c>
      <c r="G33" s="1"/>
      <c r="H33" s="1">
        <f>D33-G33</f>
        <v>1</v>
      </c>
      <c r="I33" s="1" t="s">
        <v>24</v>
      </c>
      <c r="J33" s="1">
        <v>854</v>
      </c>
      <c r="K33" s="1">
        <v>3</v>
      </c>
      <c r="L33" s="1">
        <v>0.96610169499999998</v>
      </c>
      <c r="M33" s="1"/>
      <c r="N33" s="1"/>
      <c r="O33" s="1"/>
      <c r="P33" s="1"/>
      <c r="Q33" s="1"/>
      <c r="R33" s="1"/>
      <c r="S33" s="1"/>
      <c r="T33" s="1"/>
      <c r="U33" s="1"/>
      <c r="V33" s="1"/>
      <c r="W33" s="1"/>
      <c r="X33" s="1"/>
      <c r="Y33" s="1"/>
      <c r="Z33" s="1"/>
      <c r="AA33" s="1"/>
      <c r="AB33" s="1"/>
    </row>
    <row r="34" spans="1:28" ht="15.75" customHeight="1">
      <c r="A34" s="1" t="s">
        <v>134</v>
      </c>
      <c r="B34" s="1">
        <v>2018</v>
      </c>
      <c r="C34" s="1" t="s">
        <v>67</v>
      </c>
      <c r="D34" s="1">
        <v>1</v>
      </c>
      <c r="E34" s="1"/>
      <c r="F34" s="11" t="s">
        <v>68</v>
      </c>
      <c r="G34" s="1"/>
      <c r="H34" s="1">
        <f>D34-G34</f>
        <v>1</v>
      </c>
      <c r="I34" s="1" t="s">
        <v>69</v>
      </c>
      <c r="J34" s="1">
        <v>303</v>
      </c>
      <c r="K34" s="1">
        <v>3</v>
      </c>
      <c r="L34" s="5">
        <v>0.96610169000000001</v>
      </c>
      <c r="M34" s="1"/>
      <c r="N34" s="1"/>
      <c r="O34" s="1"/>
      <c r="P34" s="1"/>
      <c r="Q34" s="1"/>
      <c r="R34" s="1"/>
      <c r="S34" s="1"/>
      <c r="T34" s="1"/>
      <c r="U34" s="1"/>
      <c r="V34" s="1"/>
      <c r="W34" s="1"/>
      <c r="X34" s="1"/>
      <c r="Y34" s="1"/>
      <c r="Z34" s="1"/>
      <c r="AA34" s="1"/>
      <c r="AB34" s="1"/>
    </row>
    <row r="35" spans="1:28" ht="15.75" customHeight="1">
      <c r="A35" s="1" t="s">
        <v>134</v>
      </c>
      <c r="B35" s="1">
        <v>2020</v>
      </c>
      <c r="C35" s="1" t="s">
        <v>58</v>
      </c>
      <c r="D35" s="1">
        <v>1</v>
      </c>
      <c r="E35" s="8" t="s">
        <v>59</v>
      </c>
      <c r="F35" s="3" t="s">
        <v>60</v>
      </c>
      <c r="G35" s="1"/>
      <c r="H35" s="1">
        <f>D35-G35</f>
        <v>1</v>
      </c>
      <c r="I35" s="1" t="s">
        <v>61</v>
      </c>
      <c r="J35" s="1">
        <v>401</v>
      </c>
      <c r="K35" s="1">
        <v>2</v>
      </c>
      <c r="L35" s="5">
        <v>0.97740112999999995</v>
      </c>
      <c r="M35" s="1"/>
      <c r="N35" s="1"/>
      <c r="O35" s="1"/>
      <c r="P35" s="1"/>
      <c r="Q35" s="1"/>
      <c r="R35" s="1"/>
      <c r="S35" s="1"/>
      <c r="T35" s="1"/>
      <c r="U35" s="1"/>
      <c r="V35" s="1"/>
      <c r="W35" s="1"/>
      <c r="X35" s="1"/>
      <c r="Y35" s="1"/>
      <c r="Z35" s="1"/>
      <c r="AA35" s="1"/>
      <c r="AB35" s="1"/>
    </row>
    <row r="36" spans="1:28" ht="15.75" customHeight="1">
      <c r="A36" s="1" t="s">
        <v>134</v>
      </c>
      <c r="B36" s="1">
        <v>2017</v>
      </c>
      <c r="C36" s="1" t="s">
        <v>93</v>
      </c>
      <c r="D36" s="1">
        <v>3</v>
      </c>
      <c r="E36" s="15" t="s">
        <v>138</v>
      </c>
      <c r="F36" s="14" t="s">
        <v>94</v>
      </c>
      <c r="G36" s="14">
        <v>2</v>
      </c>
      <c r="H36" s="1">
        <f>D36-G36</f>
        <v>1</v>
      </c>
      <c r="I36" s="14" t="s">
        <v>95</v>
      </c>
      <c r="J36" s="14">
        <v>1076</v>
      </c>
      <c r="K36" s="14">
        <v>3</v>
      </c>
      <c r="L36" s="5">
        <v>0.96610169000000001</v>
      </c>
      <c r="M36" s="1"/>
      <c r="N36" s="1"/>
      <c r="O36" s="1"/>
      <c r="P36" s="1"/>
      <c r="Q36" s="1"/>
      <c r="R36" s="1"/>
      <c r="S36" s="1"/>
      <c r="T36" s="1"/>
      <c r="U36" s="1"/>
      <c r="V36" s="1"/>
      <c r="W36" s="1"/>
      <c r="X36" s="1"/>
      <c r="Y36" s="1"/>
      <c r="Z36" s="1"/>
      <c r="AA36" s="1"/>
      <c r="AB36" s="1"/>
    </row>
    <row r="37" spans="1:28" ht="15.75" customHeight="1">
      <c r="A37" s="1" t="s">
        <v>139</v>
      </c>
      <c r="B37" s="1">
        <v>2025</v>
      </c>
      <c r="C37" s="1" t="s">
        <v>10</v>
      </c>
      <c r="D37" s="1"/>
      <c r="E37" s="1" t="s">
        <v>152</v>
      </c>
      <c r="F37" s="3" t="s">
        <v>153</v>
      </c>
      <c r="G37" s="1"/>
      <c r="H37" s="1">
        <v>1</v>
      </c>
      <c r="I37" s="1" t="s">
        <v>154</v>
      </c>
      <c r="J37" s="1">
        <v>8255</v>
      </c>
      <c r="K37" s="1">
        <v>15</v>
      </c>
      <c r="L37" s="13">
        <v>0.83050847000000005</v>
      </c>
      <c r="M37" s="1"/>
      <c r="N37" s="1"/>
      <c r="O37" s="1"/>
      <c r="P37" s="1"/>
      <c r="Q37" s="1"/>
      <c r="R37" s="1"/>
      <c r="S37" s="1"/>
      <c r="T37" s="1"/>
      <c r="U37" s="1"/>
      <c r="V37" s="1"/>
      <c r="W37" s="1"/>
      <c r="X37" s="1"/>
      <c r="Y37" s="1"/>
      <c r="Z37" s="1"/>
      <c r="AA37" s="1"/>
      <c r="AB37" s="1"/>
    </row>
    <row r="38" spans="1:28" ht="15.75" customHeight="1">
      <c r="A38" s="1" t="s">
        <v>134</v>
      </c>
      <c r="B38" s="1">
        <v>2016</v>
      </c>
      <c r="C38" s="1" t="s">
        <v>116</v>
      </c>
      <c r="D38" s="1">
        <v>1</v>
      </c>
      <c r="E38" s="18" t="s">
        <v>217</v>
      </c>
      <c r="F38" s="11" t="s">
        <v>117</v>
      </c>
      <c r="G38" s="1"/>
      <c r="H38" s="1">
        <f>D38-G38</f>
        <v>1</v>
      </c>
      <c r="I38" s="1" t="s">
        <v>118</v>
      </c>
      <c r="J38" s="1"/>
      <c r="K38" s="1"/>
      <c r="L38" s="1"/>
      <c r="M38" s="1"/>
      <c r="N38" s="1"/>
      <c r="O38" s="1"/>
      <c r="P38" s="1"/>
      <c r="Q38" s="1"/>
      <c r="R38" s="1"/>
      <c r="S38" s="1"/>
      <c r="T38" s="1"/>
      <c r="U38" s="1"/>
      <c r="V38" s="1"/>
      <c r="W38" s="1"/>
      <c r="X38" s="1"/>
      <c r="Y38" s="1"/>
      <c r="Z38" s="1"/>
      <c r="AA38" s="1"/>
      <c r="AB38" s="1"/>
    </row>
    <row r="39" spans="1:28" ht="15.75" customHeight="1">
      <c r="A39" s="1" t="s">
        <v>134</v>
      </c>
      <c r="B39" s="1">
        <v>2017</v>
      </c>
      <c r="C39" s="1" t="s">
        <v>102</v>
      </c>
      <c r="D39" s="1">
        <v>1</v>
      </c>
      <c r="E39" s="16" t="s">
        <v>103</v>
      </c>
      <c r="F39" s="3" t="s">
        <v>104</v>
      </c>
      <c r="G39" s="1"/>
      <c r="H39" s="1">
        <f>D39-G39</f>
        <v>1</v>
      </c>
      <c r="I39" s="1" t="s">
        <v>105</v>
      </c>
      <c r="J39" s="5">
        <v>30741</v>
      </c>
      <c r="K39" s="1">
        <v>6</v>
      </c>
      <c r="L39" s="5">
        <v>0.93220338999999997</v>
      </c>
      <c r="M39" s="1"/>
      <c r="N39" s="1"/>
      <c r="O39" s="1"/>
      <c r="P39" s="1"/>
      <c r="Q39" s="1"/>
      <c r="R39" s="1"/>
      <c r="S39" s="1"/>
      <c r="T39" s="1"/>
      <c r="U39" s="1"/>
      <c r="V39" s="1"/>
      <c r="W39" s="1"/>
      <c r="X39" s="1"/>
      <c r="Y39" s="1"/>
      <c r="Z39" s="1"/>
      <c r="AA39" s="1"/>
      <c r="AB39" s="1"/>
    </row>
    <row r="40" spans="1:28" ht="15.75" customHeight="1">
      <c r="A40" s="1" t="s">
        <v>134</v>
      </c>
      <c r="B40" s="1">
        <v>2017</v>
      </c>
      <c r="C40" s="1" t="s">
        <v>91</v>
      </c>
      <c r="D40" s="1">
        <v>23</v>
      </c>
      <c r="E40" s="21" t="s">
        <v>136</v>
      </c>
      <c r="F40" s="1"/>
      <c r="G40" s="1">
        <v>11</v>
      </c>
      <c r="H40" s="1">
        <v>1</v>
      </c>
      <c r="I40" s="1" t="s">
        <v>92</v>
      </c>
      <c r="J40" s="1">
        <v>5267</v>
      </c>
      <c r="K40" s="5">
        <v>10</v>
      </c>
      <c r="L40" s="5">
        <v>0.88700564999999998</v>
      </c>
      <c r="M40" s="1"/>
      <c r="N40" s="1"/>
      <c r="O40" s="1"/>
      <c r="P40" s="1"/>
      <c r="Q40" s="1"/>
      <c r="R40" s="1"/>
      <c r="S40" s="1"/>
      <c r="T40" s="1"/>
      <c r="U40" s="1"/>
      <c r="V40" s="1"/>
      <c r="W40" s="1"/>
      <c r="X40" s="1"/>
      <c r="Y40" s="1"/>
      <c r="Z40" s="1"/>
      <c r="AA40" s="1"/>
      <c r="AB40" s="1"/>
    </row>
    <row r="41" spans="1:28" ht="15.75" customHeight="1">
      <c r="A41" s="1" t="s">
        <v>134</v>
      </c>
      <c r="B41" s="1">
        <v>2018</v>
      </c>
      <c r="C41" s="1" t="s">
        <v>82</v>
      </c>
      <c r="D41" s="1">
        <v>3</v>
      </c>
      <c r="E41" s="2" t="s">
        <v>83</v>
      </c>
      <c r="F41" s="1" t="s">
        <v>84</v>
      </c>
      <c r="G41" s="1">
        <v>2</v>
      </c>
      <c r="H41" s="1">
        <f>D41-G41</f>
        <v>1</v>
      </c>
      <c r="I41" s="1" t="s">
        <v>85</v>
      </c>
      <c r="J41" s="1"/>
      <c r="K41" s="14">
        <v>10</v>
      </c>
      <c r="L41" s="5">
        <v>0.88700564999999998</v>
      </c>
      <c r="M41" s="1"/>
      <c r="N41" s="1"/>
      <c r="O41" s="1"/>
      <c r="P41" s="1"/>
      <c r="Q41" s="1"/>
      <c r="R41" s="1"/>
      <c r="S41" s="1"/>
      <c r="T41" s="1"/>
      <c r="U41" s="1"/>
      <c r="V41" s="1"/>
      <c r="W41" s="1"/>
      <c r="X41" s="1"/>
      <c r="Y41" s="1"/>
      <c r="Z41" s="1"/>
      <c r="AA41" s="1"/>
      <c r="AB41" s="1"/>
    </row>
    <row r="42" spans="1:28" ht="15.75" customHeight="1">
      <c r="A42" s="1" t="s">
        <v>139</v>
      </c>
      <c r="B42" s="1">
        <v>2025</v>
      </c>
      <c r="C42" s="1" t="s">
        <v>10</v>
      </c>
      <c r="D42" s="1">
        <v>12</v>
      </c>
      <c r="E42" s="25" t="s">
        <v>216</v>
      </c>
      <c r="F42" s="1" t="s">
        <v>151</v>
      </c>
      <c r="G42" s="1">
        <v>6</v>
      </c>
      <c r="H42" s="1"/>
      <c r="I42" s="1"/>
      <c r="J42" s="1"/>
      <c r="K42" s="1"/>
      <c r="L42" s="1"/>
      <c r="M42" s="1"/>
      <c r="N42" s="1"/>
      <c r="O42" s="1"/>
      <c r="P42" s="1"/>
      <c r="Q42" s="1"/>
      <c r="R42" s="1"/>
      <c r="S42" s="1"/>
      <c r="T42" s="1"/>
      <c r="U42" s="1"/>
      <c r="V42" s="1"/>
      <c r="W42" s="1"/>
      <c r="X42" s="1"/>
      <c r="Y42" s="1"/>
      <c r="Z42" s="1"/>
      <c r="AA42" s="1"/>
      <c r="AB42" s="1"/>
    </row>
    <row r="43" spans="1:28" ht="42">
      <c r="A43" s="1" t="s">
        <v>134</v>
      </c>
      <c r="B43" s="1">
        <v>2016</v>
      </c>
      <c r="C43" s="1" t="s">
        <v>109</v>
      </c>
      <c r="D43" s="1">
        <v>1</v>
      </c>
      <c r="E43" s="1" t="s">
        <v>110</v>
      </c>
      <c r="F43" s="36" t="s">
        <v>111</v>
      </c>
      <c r="G43" s="1">
        <v>1</v>
      </c>
      <c r="H43" s="1"/>
      <c r="I43" s="1"/>
      <c r="J43" s="1"/>
      <c r="K43" s="1"/>
      <c r="L43" s="1"/>
      <c r="M43" s="1"/>
      <c r="N43" s="1"/>
      <c r="O43" s="1"/>
      <c r="P43" s="1"/>
      <c r="Q43" s="1"/>
      <c r="R43" s="1"/>
      <c r="S43" s="1"/>
      <c r="T43" s="1"/>
      <c r="U43" s="1"/>
      <c r="V43" s="1"/>
      <c r="W43" s="1"/>
      <c r="X43" s="1"/>
      <c r="Y43" s="1"/>
      <c r="Z43" s="1"/>
      <c r="AA43" s="1"/>
      <c r="AB43" s="1"/>
    </row>
    <row r="44" spans="1:28" ht="84">
      <c r="A44" s="1" t="s">
        <v>134</v>
      </c>
      <c r="B44" s="1">
        <v>2019</v>
      </c>
      <c r="C44" s="1" t="s">
        <v>65</v>
      </c>
      <c r="D44" s="1">
        <v>1</v>
      </c>
      <c r="E44" s="10" t="s">
        <v>66</v>
      </c>
      <c r="F44" s="36" t="s">
        <v>218</v>
      </c>
      <c r="G44" s="1"/>
      <c r="H44" s="1"/>
      <c r="I44" s="1"/>
      <c r="J44" s="1"/>
      <c r="K44" s="1"/>
      <c r="L44" s="1"/>
      <c r="M44" s="1"/>
      <c r="N44" s="1"/>
      <c r="O44" s="1"/>
      <c r="P44" s="1"/>
      <c r="Q44" s="1"/>
      <c r="R44" s="1"/>
      <c r="S44" s="1"/>
      <c r="T44" s="1"/>
      <c r="U44" s="1"/>
      <c r="V44" s="1"/>
      <c r="W44" s="1"/>
      <c r="X44" s="1"/>
      <c r="Y44" s="1"/>
      <c r="Z44" s="1"/>
      <c r="AA44" s="1"/>
      <c r="AB44" s="1"/>
    </row>
    <row r="45" spans="1:28"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sheetData>
  <sortState xmlns:xlrd2="http://schemas.microsoft.com/office/spreadsheetml/2017/richdata2" ref="A2:AB1000">
    <sortCondition descending="1" ref="H2:H1000"/>
  </sortState>
  <hyperlinks>
    <hyperlink ref="F33" r:id="rId1" xr:uid="{00000000-0004-0000-0300-000000000000}"/>
    <hyperlink ref="F25" r:id="rId2" location=":~:text=WEED%2C%20Calif.,victims%20of%20the%20Mill%20Fire." xr:uid="{00000000-0004-0000-0300-000001000000}"/>
    <hyperlink ref="F23" r:id="rId3" xr:uid="{00000000-0004-0000-0300-000002000000}"/>
    <hyperlink ref="F32" r:id="rId4" xr:uid="{00000000-0004-0000-0300-000003000000}"/>
    <hyperlink ref="F18" r:id="rId5" xr:uid="{00000000-0004-0000-0300-000004000000}"/>
    <hyperlink ref="F24" r:id="rId6" location=":~:text=The%20Markley%20Fire%20destroyed%20hundreds%20of%20structures,the%207800%20block%20of%20English%20Hills%20Road." xr:uid="{00000000-0004-0000-0300-000005000000}"/>
    <hyperlink ref="F5" r:id="rId7" xr:uid="{00000000-0004-0000-0300-000006000000}"/>
    <hyperlink ref="F27" r:id="rId8" xr:uid="{00000000-0004-0000-0300-000007000000}"/>
    <hyperlink ref="F35" r:id="rId9" xr:uid="{00000000-0004-0000-0300-000008000000}"/>
    <hyperlink ref="E26" r:id="rId10" xr:uid="{00000000-0004-0000-0300-000009000000}"/>
    <hyperlink ref="F34" r:id="rId11" xr:uid="{00000000-0004-0000-0300-00000A000000}"/>
    <hyperlink ref="F3" r:id="rId12" xr:uid="{00000000-0004-0000-0300-00000B000000}"/>
    <hyperlink ref="F8" r:id="rId13" xr:uid="{00000000-0004-0000-0300-00000C000000}"/>
    <hyperlink ref="F9" r:id="rId14" xr:uid="{00000000-0004-0000-0300-00000D000000}"/>
    <hyperlink ref="F17" r:id="rId15" xr:uid="{00000000-0004-0000-0300-00000E000000}"/>
    <hyperlink ref="F30" r:id="rId16" xr:uid="{00000000-0004-0000-0300-00000F000000}"/>
    <hyperlink ref="F10" r:id="rId17" xr:uid="{00000000-0004-0000-0300-000010000000}"/>
    <hyperlink ref="F39" r:id="rId18" xr:uid="{00000000-0004-0000-0300-000011000000}"/>
    <hyperlink ref="F43" r:id="rId19" xr:uid="{00000000-0004-0000-0300-000012000000}"/>
    <hyperlink ref="F38" r:id="rId20" xr:uid="{00000000-0004-0000-0300-000013000000}"/>
    <hyperlink ref="F29" r:id="rId21" xr:uid="{00000000-0004-0000-0300-000014000000}"/>
    <hyperlink ref="F31" r:id="rId22" xr:uid="{00000000-0004-0000-0300-000015000000}"/>
    <hyperlink ref="F28" r:id="rId23" xr:uid="{00000000-0004-0000-0300-000016000000}"/>
    <hyperlink ref="F2" r:id="rId24" xr:uid="{00000000-0004-0000-0300-000017000000}"/>
    <hyperlink ref="F37" r:id="rId25" xr:uid="{00000000-0004-0000-0300-000018000000}"/>
    <hyperlink ref="F11" r:id="rId26" xr:uid="{00000000-0004-0000-0300-000019000000}"/>
    <hyperlink ref="F26" r:id="rId27" xr:uid="{59B23D14-315E-C14B-A802-DEDC0E38DF61}"/>
    <hyperlink ref="F44" r:id="rId28" xr:uid="{5AC8B269-2427-A342-A520-CB154B280EE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24"/>
  <sheetViews>
    <sheetView tabSelected="1" workbookViewId="0">
      <selection activeCell="A24" sqref="A24"/>
    </sheetView>
  </sheetViews>
  <sheetFormatPr baseColWidth="10" defaultColWidth="12.6640625" defaultRowHeight="15.75" customHeight="1"/>
  <cols>
    <col min="1" max="1" width="20.1640625" customWidth="1"/>
    <col min="4" max="4" width="47.1640625" customWidth="1"/>
  </cols>
  <sheetData>
    <row r="1" spans="1:5" ht="15.75" customHeight="1">
      <c r="A1" s="26" t="s">
        <v>11</v>
      </c>
      <c r="B1" s="26" t="s">
        <v>157</v>
      </c>
      <c r="C1" s="26" t="s">
        <v>158</v>
      </c>
      <c r="D1" s="26" t="s">
        <v>159</v>
      </c>
      <c r="E1" s="26" t="s">
        <v>12</v>
      </c>
    </row>
    <row r="2" spans="1:5" ht="16">
      <c r="A2" s="1" t="s">
        <v>160</v>
      </c>
      <c r="B2" s="26">
        <v>101</v>
      </c>
      <c r="D2" s="27" t="s">
        <v>161</v>
      </c>
      <c r="E2" s="28" t="s">
        <v>162</v>
      </c>
    </row>
    <row r="3" spans="1:5" ht="19">
      <c r="A3" s="29" t="s">
        <v>163</v>
      </c>
      <c r="B3" s="26">
        <v>95</v>
      </c>
      <c r="C3" s="26" t="s">
        <v>137</v>
      </c>
      <c r="D3" s="30" t="s">
        <v>164</v>
      </c>
      <c r="E3" s="31" t="s">
        <v>165</v>
      </c>
    </row>
    <row r="4" spans="1:5" ht="15.75" customHeight="1">
      <c r="A4" s="26" t="s">
        <v>166</v>
      </c>
      <c r="B4" s="26">
        <v>71</v>
      </c>
      <c r="D4" s="30" t="s">
        <v>167</v>
      </c>
      <c r="E4" s="26" t="s">
        <v>168</v>
      </c>
    </row>
    <row r="5" spans="1:5" ht="16">
      <c r="A5" s="26" t="s">
        <v>169</v>
      </c>
      <c r="B5" s="26">
        <v>76</v>
      </c>
      <c r="D5" s="30" t="s">
        <v>170</v>
      </c>
      <c r="E5" s="28" t="s">
        <v>171</v>
      </c>
    </row>
    <row r="6" spans="1:5" ht="15.75" customHeight="1">
      <c r="A6" s="26" t="s">
        <v>172</v>
      </c>
      <c r="B6" s="26">
        <v>79</v>
      </c>
      <c r="C6" s="26" t="s">
        <v>137</v>
      </c>
      <c r="D6" s="30" t="s">
        <v>173</v>
      </c>
      <c r="E6" s="26" t="s">
        <v>174</v>
      </c>
    </row>
    <row r="7" spans="1:5" ht="16">
      <c r="A7" s="26" t="s">
        <v>175</v>
      </c>
      <c r="B7" s="26">
        <v>54</v>
      </c>
      <c r="D7" s="30" t="s">
        <v>176</v>
      </c>
      <c r="E7" s="28" t="s">
        <v>171</v>
      </c>
    </row>
    <row r="8" spans="1:5" ht="15.75" customHeight="1">
      <c r="A8" s="26" t="s">
        <v>177</v>
      </c>
      <c r="B8" s="26">
        <v>82</v>
      </c>
      <c r="D8" s="30" t="s">
        <v>178</v>
      </c>
      <c r="E8" s="26" t="s">
        <v>179</v>
      </c>
    </row>
    <row r="9" spans="1:5" ht="19">
      <c r="A9" s="26" t="s">
        <v>180</v>
      </c>
      <c r="B9" s="26">
        <v>75</v>
      </c>
      <c r="C9" s="26" t="s">
        <v>137</v>
      </c>
      <c r="D9" s="30" t="s">
        <v>164</v>
      </c>
      <c r="E9" s="31" t="s">
        <v>165</v>
      </c>
    </row>
    <row r="10" spans="1:5" ht="15.75" customHeight="1">
      <c r="A10" s="26" t="s">
        <v>181</v>
      </c>
      <c r="B10" s="26">
        <v>69</v>
      </c>
      <c r="D10" s="30" t="s">
        <v>182</v>
      </c>
      <c r="E10" s="26" t="s">
        <v>168</v>
      </c>
    </row>
    <row r="11" spans="1:5" ht="16">
      <c r="A11" s="26" t="s">
        <v>183</v>
      </c>
      <c r="B11" s="26">
        <v>75</v>
      </c>
      <c r="D11" s="30" t="s">
        <v>184</v>
      </c>
      <c r="E11" s="28" t="s">
        <v>171</v>
      </c>
    </row>
    <row r="12" spans="1:5" ht="18">
      <c r="A12" s="26" t="s">
        <v>185</v>
      </c>
      <c r="B12" s="26">
        <v>81</v>
      </c>
      <c r="C12" s="26" t="s">
        <v>137</v>
      </c>
      <c r="D12" s="30" t="s">
        <v>186</v>
      </c>
      <c r="E12" s="32" t="s">
        <v>187</v>
      </c>
    </row>
    <row r="13" spans="1:5" ht="19">
      <c r="A13" s="26" t="s">
        <v>188</v>
      </c>
      <c r="B13" s="26">
        <v>67</v>
      </c>
      <c r="C13" s="26" t="s">
        <v>137</v>
      </c>
      <c r="D13" s="30" t="s">
        <v>189</v>
      </c>
      <c r="E13" s="33" t="s">
        <v>187</v>
      </c>
    </row>
    <row r="14" spans="1:5" ht="15.75" customHeight="1">
      <c r="A14" s="26" t="s">
        <v>190</v>
      </c>
      <c r="B14" s="26">
        <v>71</v>
      </c>
      <c r="D14" s="30" t="s">
        <v>221</v>
      </c>
      <c r="E14" s="26" t="s">
        <v>191</v>
      </c>
    </row>
    <row r="15" spans="1:5" ht="18">
      <c r="A15" s="26" t="s">
        <v>192</v>
      </c>
      <c r="B15" s="26">
        <v>72</v>
      </c>
      <c r="C15" s="26" t="s">
        <v>137</v>
      </c>
      <c r="D15" s="30" t="s">
        <v>193</v>
      </c>
      <c r="E15" s="32" t="s">
        <v>194</v>
      </c>
    </row>
    <row r="16" spans="1:5" ht="15.75" customHeight="1">
      <c r="A16" s="26" t="s">
        <v>195</v>
      </c>
      <c r="B16" s="26">
        <v>68</v>
      </c>
      <c r="D16" s="30" t="s">
        <v>196</v>
      </c>
      <c r="E16" s="26" t="s">
        <v>197</v>
      </c>
    </row>
    <row r="17" spans="1:5" ht="18">
      <c r="A17" s="26" t="s">
        <v>198</v>
      </c>
      <c r="B17" s="26">
        <v>41</v>
      </c>
      <c r="C17" s="26" t="s">
        <v>137</v>
      </c>
      <c r="D17" s="30" t="s">
        <v>199</v>
      </c>
      <c r="E17" s="32" t="s">
        <v>187</v>
      </c>
    </row>
    <row r="18" spans="1:5" ht="15.75" customHeight="1">
      <c r="A18" s="26" t="s">
        <v>200</v>
      </c>
      <c r="B18" s="26">
        <v>57</v>
      </c>
      <c r="C18" s="26" t="s">
        <v>92</v>
      </c>
      <c r="D18" s="30" t="s">
        <v>201</v>
      </c>
    </row>
    <row r="19" spans="1:5" ht="18">
      <c r="A19" s="26" t="s">
        <v>202</v>
      </c>
      <c r="B19" s="26">
        <v>80</v>
      </c>
      <c r="C19" s="26" t="s">
        <v>137</v>
      </c>
      <c r="D19" s="30" t="s">
        <v>203</v>
      </c>
      <c r="E19" s="34" t="s">
        <v>204</v>
      </c>
    </row>
    <row r="20" spans="1:5" ht="18">
      <c r="A20" s="26" t="s">
        <v>205</v>
      </c>
      <c r="B20" s="26">
        <v>80</v>
      </c>
      <c r="C20" s="26" t="s">
        <v>137</v>
      </c>
      <c r="D20" s="30" t="s">
        <v>203</v>
      </c>
      <c r="E20" s="34" t="s">
        <v>204</v>
      </c>
    </row>
    <row r="21" spans="1:5" ht="15.75" customHeight="1">
      <c r="A21" s="26" t="s">
        <v>206</v>
      </c>
      <c r="B21" s="26">
        <v>47</v>
      </c>
      <c r="D21" s="30" t="s">
        <v>207</v>
      </c>
      <c r="E21" s="26" t="s">
        <v>171</v>
      </c>
    </row>
    <row r="22" spans="1:5" ht="15.75" customHeight="1">
      <c r="A22" s="26" t="s">
        <v>208</v>
      </c>
      <c r="B22" s="26">
        <v>75</v>
      </c>
      <c r="D22" s="30" t="s">
        <v>209</v>
      </c>
      <c r="E22" s="29" t="s">
        <v>210</v>
      </c>
    </row>
    <row r="23" spans="1:5" ht="15.75" customHeight="1">
      <c r="A23" s="26" t="s">
        <v>211</v>
      </c>
      <c r="B23" s="26">
        <v>40</v>
      </c>
      <c r="C23" s="26" t="s">
        <v>137</v>
      </c>
      <c r="D23" s="30" t="s">
        <v>222</v>
      </c>
      <c r="E23" s="29" t="s">
        <v>212</v>
      </c>
    </row>
    <row r="24" spans="1:5" ht="15.75" customHeight="1">
      <c r="A24" s="26" t="s">
        <v>213</v>
      </c>
      <c r="B24" s="26">
        <v>27</v>
      </c>
      <c r="C24" s="26" t="s">
        <v>137</v>
      </c>
      <c r="D24" s="35" t="s">
        <v>214</v>
      </c>
      <c r="E24" s="26" t="s">
        <v>215</v>
      </c>
    </row>
  </sheetData>
  <hyperlinks>
    <hyperlink ref="D2" r:id="rId1" xr:uid="{00000000-0004-0000-0400-000000000000}"/>
    <hyperlink ref="D3" r:id="rId2" xr:uid="{00000000-0004-0000-0400-000001000000}"/>
    <hyperlink ref="D4" r:id="rId3" xr:uid="{00000000-0004-0000-0400-000002000000}"/>
    <hyperlink ref="D5" r:id="rId4" xr:uid="{00000000-0004-0000-0400-000003000000}"/>
    <hyperlink ref="D6" r:id="rId5" xr:uid="{00000000-0004-0000-0400-000004000000}"/>
    <hyperlink ref="D7" r:id="rId6" xr:uid="{00000000-0004-0000-0400-000005000000}"/>
    <hyperlink ref="D8" r:id="rId7" xr:uid="{00000000-0004-0000-0400-000006000000}"/>
    <hyperlink ref="D9" r:id="rId8" xr:uid="{00000000-0004-0000-0400-000007000000}"/>
    <hyperlink ref="D10" r:id="rId9" xr:uid="{00000000-0004-0000-0400-000008000000}"/>
    <hyperlink ref="D11" r:id="rId10" xr:uid="{00000000-0004-0000-0400-000009000000}"/>
    <hyperlink ref="D12" r:id="rId11" xr:uid="{00000000-0004-0000-0400-00000A000000}"/>
    <hyperlink ref="D13" r:id="rId12" location=":~:text=Elizabeth%20McCombs%2C%2067-,Santa%20Rosa,unable%20to%20escape%20the%20flames." xr:uid="{00000000-0004-0000-0400-00000B000000}"/>
    <hyperlink ref="D15" r:id="rId13" xr:uid="{00000000-0004-0000-0400-00000D000000}"/>
    <hyperlink ref="D16" r:id="rId14" xr:uid="{00000000-0004-0000-0400-00000E000000}"/>
    <hyperlink ref="D17" r:id="rId15" xr:uid="{00000000-0004-0000-0400-00000F000000}"/>
    <hyperlink ref="D18" r:id="rId16" xr:uid="{00000000-0004-0000-0400-000010000000}"/>
    <hyperlink ref="D19" r:id="rId17" xr:uid="{00000000-0004-0000-0400-000011000000}"/>
    <hyperlink ref="D20" r:id="rId18" xr:uid="{00000000-0004-0000-0400-000012000000}"/>
    <hyperlink ref="D21" r:id="rId19" xr:uid="{00000000-0004-0000-0400-000013000000}"/>
    <hyperlink ref="D22" r:id="rId20" xr:uid="{00000000-0004-0000-0400-000014000000}"/>
    <hyperlink ref="D24" r:id="rId21" xr:uid="{00000000-0004-0000-0400-00001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redbooks + top 20 fires</vt:lpstr>
      <vt:lpstr>Tubbs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Cat</cp:lastModifiedBy>
  <dcterms:modified xsi:type="dcterms:W3CDTF">2026-02-25T22:59:48Z</dcterms:modified>
</cp:coreProperties>
</file>